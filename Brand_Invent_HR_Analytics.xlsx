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53DA7A25-4654-463B-9E35-E9073B7851DE}" xr6:coauthVersionLast="47" xr6:coauthVersionMax="47" xr10:uidLastSave="{00000000-0000-0000-0000-000000000000}"/>
  <bookViews>
    <workbookView xWindow="-108" yWindow="-108" windowWidth="23256" windowHeight="12456" tabRatio="500" firstSheet="5" activeTab="7" xr2:uid="{00000000-000D-0000-FFFF-FFFF00000000}"/>
  </bookViews>
  <sheets>
    <sheet name="1_Raw_Data" sheetId="1" r:id="rId1"/>
    <sheet name="2_Data_Cleaning_Log" sheetId="2" r:id="rId2"/>
    <sheet name="3_Cleaned_Data" sheetId="3" r:id="rId3"/>
    <sheet name="4_Employee_Master" sheetId="4" r:id="rId4"/>
    <sheet name="5_Dept_Summary" sheetId="5" r:id="rId5"/>
    <sheet name="6_Salary_Analysis" sheetId="6" r:id="rId6"/>
    <sheet name="7_Attrition_Analysis" sheetId="7" r:id="rId7"/>
    <sheet name="8_Salary_Revision_Log" sheetId="8" r:id="rId8"/>
    <sheet name="9_HR_Dashboard" sheetId="9" r:id="rId9"/>
  </sheets>
  <definedNames>
    <definedName name="_xlnm._FilterDatabase" localSheetId="0" hidden="1">'1_Raw_Data'!$A$3:$O$38</definedName>
    <definedName name="_xlnm._FilterDatabase" localSheetId="2" hidden="1">'3_Cleaned_Data'!$A$2:$O$34</definedName>
    <definedName name="_xlnm._FilterDatabase" localSheetId="3" hidden="1">'4_Employee_Master'!$A$2:$R$34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" i="4" l="1"/>
  <c r="E15" i="9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C16" i="9" s="1"/>
  <c r="G5" i="9"/>
  <c r="E5" i="9"/>
  <c r="C5" i="9"/>
  <c r="A5" i="9"/>
  <c r="H13" i="8"/>
  <c r="F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H3" i="8"/>
  <c r="G3" i="8"/>
  <c r="G13" i="8" s="1"/>
  <c r="B11" i="7"/>
  <c r="B10" i="7"/>
  <c r="B9" i="7"/>
  <c r="B8" i="7"/>
  <c r="B7" i="7"/>
  <c r="B6" i="7"/>
  <c r="B5" i="7"/>
  <c r="B4" i="7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B17" i="6"/>
  <c r="B16" i="6"/>
  <c r="B15" i="6"/>
  <c r="B10" i="6"/>
  <c r="B9" i="6"/>
  <c r="B8" i="6"/>
  <c r="B7" i="6"/>
  <c r="B6" i="6"/>
  <c r="B5" i="6"/>
  <c r="B4" i="6"/>
  <c r="G9" i="5"/>
  <c r="H8" i="5" s="1"/>
  <c r="F9" i="5"/>
  <c r="E9" i="5"/>
  <c r="D9" i="5"/>
  <c r="C9" i="5"/>
  <c r="H6" i="5"/>
  <c r="H5" i="5"/>
  <c r="H4" i="5"/>
  <c r="H3" i="5"/>
  <c r="Q34" i="4"/>
  <c r="P34" i="4"/>
  <c r="O34" i="4"/>
  <c r="L34" i="4"/>
  <c r="H34" i="4"/>
  <c r="Q33" i="4"/>
  <c r="P33" i="4"/>
  <c r="O33" i="4"/>
  <c r="L33" i="4"/>
  <c r="H33" i="4"/>
  <c r="Q32" i="4"/>
  <c r="P32" i="4"/>
  <c r="O32" i="4"/>
  <c r="L32" i="4"/>
  <c r="H32" i="4"/>
  <c r="Q31" i="4"/>
  <c r="P31" i="4"/>
  <c r="O31" i="4"/>
  <c r="L31" i="4"/>
  <c r="H31" i="4"/>
  <c r="Q30" i="4"/>
  <c r="P30" i="4"/>
  <c r="O30" i="4"/>
  <c r="L30" i="4"/>
  <c r="H30" i="4"/>
  <c r="Q29" i="4"/>
  <c r="P29" i="4"/>
  <c r="O29" i="4"/>
  <c r="L29" i="4"/>
  <c r="H29" i="4"/>
  <c r="Q28" i="4"/>
  <c r="P28" i="4"/>
  <c r="O28" i="4"/>
  <c r="L28" i="4"/>
  <c r="H28" i="4"/>
  <c r="Q27" i="4"/>
  <c r="P27" i="4"/>
  <c r="O27" i="4"/>
  <c r="L27" i="4"/>
  <c r="H27" i="4"/>
  <c r="Q26" i="4"/>
  <c r="P26" i="4"/>
  <c r="O26" i="4"/>
  <c r="L26" i="4"/>
  <c r="H26" i="4"/>
  <c r="Q25" i="4"/>
  <c r="P25" i="4"/>
  <c r="O25" i="4"/>
  <c r="L25" i="4"/>
  <c r="H25" i="4"/>
  <c r="Q24" i="4"/>
  <c r="P24" i="4"/>
  <c r="O24" i="4"/>
  <c r="L24" i="4"/>
  <c r="H24" i="4"/>
  <c r="Q23" i="4"/>
  <c r="P23" i="4"/>
  <c r="O23" i="4"/>
  <c r="L23" i="4"/>
  <c r="H23" i="4"/>
  <c r="Q22" i="4"/>
  <c r="P22" i="4"/>
  <c r="O22" i="4"/>
  <c r="L22" i="4"/>
  <c r="H22" i="4"/>
  <c r="Q21" i="4"/>
  <c r="P21" i="4"/>
  <c r="O21" i="4"/>
  <c r="L21" i="4"/>
  <c r="H21" i="4"/>
  <c r="Q20" i="4"/>
  <c r="P20" i="4"/>
  <c r="O20" i="4"/>
  <c r="L20" i="4"/>
  <c r="H20" i="4"/>
  <c r="Q19" i="4"/>
  <c r="P19" i="4"/>
  <c r="O19" i="4"/>
  <c r="L19" i="4"/>
  <c r="H19" i="4"/>
  <c r="Q18" i="4"/>
  <c r="P18" i="4"/>
  <c r="O18" i="4"/>
  <c r="H18" i="4"/>
  <c r="Q17" i="4"/>
  <c r="P17" i="4"/>
  <c r="O17" i="4"/>
  <c r="L17" i="4"/>
  <c r="H17" i="4"/>
  <c r="Q16" i="4"/>
  <c r="P16" i="4"/>
  <c r="O16" i="4"/>
  <c r="L16" i="4"/>
  <c r="H16" i="4"/>
  <c r="Q15" i="4"/>
  <c r="P15" i="4"/>
  <c r="O15" i="4"/>
  <c r="L15" i="4"/>
  <c r="H15" i="4"/>
  <c r="Q14" i="4"/>
  <c r="P14" i="4"/>
  <c r="O14" i="4"/>
  <c r="L14" i="4"/>
  <c r="H14" i="4"/>
  <c r="Q13" i="4"/>
  <c r="P13" i="4"/>
  <c r="O13" i="4"/>
  <c r="L13" i="4"/>
  <c r="H13" i="4"/>
  <c r="Q12" i="4"/>
  <c r="P12" i="4"/>
  <c r="O12" i="4"/>
  <c r="L12" i="4"/>
  <c r="H12" i="4"/>
  <c r="Q11" i="4"/>
  <c r="P11" i="4"/>
  <c r="O11" i="4"/>
  <c r="L11" i="4"/>
  <c r="H11" i="4"/>
  <c r="Q10" i="4"/>
  <c r="P10" i="4"/>
  <c r="O10" i="4"/>
  <c r="L10" i="4"/>
  <c r="H10" i="4"/>
  <c r="Q9" i="4"/>
  <c r="P9" i="4"/>
  <c r="O9" i="4"/>
  <c r="L9" i="4"/>
  <c r="H9" i="4"/>
  <c r="Q8" i="4"/>
  <c r="P8" i="4"/>
  <c r="O8" i="4"/>
  <c r="L8" i="4"/>
  <c r="H8" i="4"/>
  <c r="Q7" i="4"/>
  <c r="P7" i="4"/>
  <c r="O7" i="4"/>
  <c r="L7" i="4"/>
  <c r="H7" i="4"/>
  <c r="Q6" i="4"/>
  <c r="P6" i="4"/>
  <c r="O6" i="4"/>
  <c r="L6" i="4"/>
  <c r="H6" i="4"/>
  <c r="Q5" i="4"/>
  <c r="P5" i="4"/>
  <c r="O5" i="4"/>
  <c r="L5" i="4"/>
  <c r="H5" i="4"/>
  <c r="Q4" i="4"/>
  <c r="P4" i="4"/>
  <c r="O4" i="4"/>
  <c r="L4" i="4"/>
  <c r="H4" i="4"/>
  <c r="Q3" i="4"/>
  <c r="P3" i="4"/>
  <c r="O3" i="4"/>
  <c r="L3" i="4"/>
  <c r="H3" i="4"/>
  <c r="D16" i="9" l="1"/>
  <c r="E16" i="9"/>
  <c r="F14" i="9" s="1"/>
  <c r="C15" i="6"/>
  <c r="D15" i="6" s="1"/>
  <c r="C17" i="6"/>
  <c r="H7" i="5"/>
  <c r="B18" i="6"/>
  <c r="C18" i="6" s="1"/>
  <c r="F10" i="9" l="1"/>
  <c r="F13" i="9"/>
  <c r="F11" i="9"/>
  <c r="F12" i="9"/>
  <c r="F15" i="9"/>
  <c r="C16" i="6"/>
  <c r="D16" i="6"/>
  <c r="D17" i="6" s="1"/>
  <c r="D18" i="6" s="1"/>
</calcChain>
</file>

<file path=xl/sharedStrings.xml><?xml version="1.0" encoding="utf-8"?>
<sst xmlns="http://schemas.openxmlformats.org/spreadsheetml/2006/main" count="1471" uniqueCount="413">
  <si>
    <t>Brand Invent HR — Raw Employee Data (Uncleaned)</t>
  </si>
  <si>
    <t>⚠  This sheet contains intentional errors: duplicates, missing values, formatting issues, inconsistent casing — for data cleaning demonstration</t>
  </si>
  <si>
    <t>Emp ID</t>
  </si>
  <si>
    <t>Full Name</t>
  </si>
  <si>
    <t>Gender</t>
  </si>
  <si>
    <t>Date of Birth</t>
  </si>
  <si>
    <t>Contact No.</t>
  </si>
  <si>
    <t>Email Address</t>
  </si>
  <si>
    <t>Designation</t>
  </si>
  <si>
    <t>Department</t>
  </si>
  <si>
    <t>Employment Type</t>
  </si>
  <si>
    <t>Date of Joining</t>
  </si>
  <si>
    <t>Basic Salary (Rs.)</t>
  </si>
  <si>
    <t>HRA (Rs.)</t>
  </si>
  <si>
    <t>Allowances (Rs.)</t>
  </si>
  <si>
    <t>Employment Status</t>
  </si>
  <si>
    <t>Reporting Manager</t>
  </si>
  <si>
    <t>Anita Sharma</t>
  </si>
  <si>
    <t>Female</t>
  </si>
  <si>
    <t>1982-03-12</t>
  </si>
  <si>
    <t>9810011001</t>
  </si>
  <si>
    <t>anita.sharma@brandinvent.org</t>
  </si>
  <si>
    <t>HR Director</t>
  </si>
  <si>
    <t>Human Resources</t>
  </si>
  <si>
    <t>Full-Time</t>
  </si>
  <si>
    <t>2017-06-01</t>
  </si>
  <si>
    <t>Active</t>
  </si>
  <si>
    <t>CEO</t>
  </si>
  <si>
    <t xml:space="preserve">  Ritika Joshi  </t>
  </si>
  <si>
    <t>1990-07-18</t>
  </si>
  <si>
    <t>9810011002</t>
  </si>
  <si>
    <t>ritika.joshi@brandinvent.org</t>
  </si>
  <si>
    <t>HR Manager</t>
  </si>
  <si>
    <t>2018-09-01</t>
  </si>
  <si>
    <t>Manoj Tiwari</t>
  </si>
  <si>
    <t>Male</t>
  </si>
  <si>
    <t>1992-11-25</t>
  </si>
  <si>
    <t>9810011003</t>
  </si>
  <si>
    <t>manoj.tiwari@brandinvent.org</t>
  </si>
  <si>
    <t>HR Executive</t>
  </si>
  <si>
    <t>2020-03-15</t>
  </si>
  <si>
    <t>Ritika Joshi</t>
  </si>
  <si>
    <t>Pooja Agarwal</t>
  </si>
  <si>
    <t>1995-05-30</t>
  </si>
  <si>
    <t>9810011004</t>
  </si>
  <si>
    <t>pooja.agarwal@brandinvent.org</t>
  </si>
  <si>
    <t>HR Coordinator</t>
  </si>
  <si>
    <t>MISSING</t>
  </si>
  <si>
    <t>2021-07-01</t>
  </si>
  <si>
    <t>Rahul Saxena</t>
  </si>
  <si>
    <t>1998-09-14</t>
  </si>
  <si>
    <t>9810011005</t>
  </si>
  <si>
    <t>rahul.saxena@brandinvent.org</t>
  </si>
  <si>
    <t>HR Assistant</t>
  </si>
  <si>
    <t>2023-01-10</t>
  </si>
  <si>
    <t>Rajiv Mehra</t>
  </si>
  <si>
    <t>1985-01-22</t>
  </si>
  <si>
    <t>9810011006</t>
  </si>
  <si>
    <t>rajiv.mehra@brandinvent.org</t>
  </si>
  <si>
    <t>Recruitment Manager</t>
  </si>
  <si>
    <t>Recruitment &amp; Talent</t>
  </si>
  <si>
    <t>2018-04-01</t>
  </si>
  <si>
    <t>72000/-</t>
  </si>
  <si>
    <t xml:space="preserve">  Deepika Singh  </t>
  </si>
  <si>
    <t>1991-08-10</t>
  </si>
  <si>
    <t>9810011007</t>
  </si>
  <si>
    <t>deepika.singh@brandinvent.org</t>
  </si>
  <si>
    <t>Senior Recruiter</t>
  </si>
  <si>
    <t>2019-06-15</t>
  </si>
  <si>
    <t>Amit Chauhan</t>
  </si>
  <si>
    <t>1994-04-05</t>
  </si>
  <si>
    <t>9810011008</t>
  </si>
  <si>
    <t>amit.chauhan@brandinvent.org</t>
  </si>
  <si>
    <t>Recruiter</t>
  </si>
  <si>
    <t>2021-02-01</t>
  </si>
  <si>
    <t>Sneha Pillai</t>
  </si>
  <si>
    <t>1996-12-19</t>
  </si>
  <si>
    <t>9810011009</t>
  </si>
  <si>
    <t>sneha.pillai@brandinvent.org</t>
  </si>
  <si>
    <t>Junior Recruiter</t>
  </si>
  <si>
    <t>2022-08-01</t>
  </si>
  <si>
    <t>Deepika Singh</t>
  </si>
  <si>
    <t>Varun Khanna</t>
  </si>
  <si>
    <t>male</t>
  </si>
  <si>
    <t>1999-03-27</t>
  </si>
  <si>
    <t>9810011010</t>
  </si>
  <si>
    <t>varun.khanna@brandinvent.org</t>
  </si>
  <si>
    <t>Recruitment Executive</t>
  </si>
  <si>
    <t>2023-05-15</t>
  </si>
  <si>
    <t>Priya Kapoor</t>
  </si>
  <si>
    <t>1987-11-05</t>
  </si>
  <si>
    <t>9810011011</t>
  </si>
  <si>
    <t>priya.kapoor@brandinvent.org</t>
  </si>
  <si>
    <t>HR Analytics Lead</t>
  </si>
  <si>
    <t>HR Analytics &amp; Data</t>
  </si>
  <si>
    <t>2019-08-01</t>
  </si>
  <si>
    <t>Arjun Verma</t>
  </si>
  <si>
    <t>1992-06-14</t>
  </si>
  <si>
    <t>9810011012</t>
  </si>
  <si>
    <t>arjun.verma@brandinvent.org</t>
  </si>
  <si>
    <t>Senior HR Analyst</t>
  </si>
  <si>
    <t>2020-11-01</t>
  </si>
  <si>
    <t>Kavya Reddy</t>
  </si>
  <si>
    <t>1994-02-28</t>
  </si>
  <si>
    <t>9810011013</t>
  </si>
  <si>
    <t>kavya.reddy@brandinvent.org</t>
  </si>
  <si>
    <t>HR Analyst</t>
  </si>
  <si>
    <t>2021-06-01</t>
  </si>
  <si>
    <t>Nikhil Sharma</t>
  </si>
  <si>
    <t>1996-09-10</t>
  </si>
  <si>
    <t>9810011014</t>
  </si>
  <si>
    <t>nikhil.sharma@brandinvent.org</t>
  </si>
  <si>
    <t>Data Analyst - HR</t>
  </si>
  <si>
    <t>2022-03-01</t>
  </si>
  <si>
    <t>Tanvi Mehta</t>
  </si>
  <si>
    <t>1998-07-22</t>
  </si>
  <si>
    <t>9810011015</t>
  </si>
  <si>
    <t>tanvi.mehta@brandinvent.org</t>
  </si>
  <si>
    <t>Junior HR Analyst</t>
  </si>
  <si>
    <t>2023-07-15</t>
  </si>
  <si>
    <t>Somika Arya</t>
  </si>
  <si>
    <t>2003-04-15</t>
  </si>
  <si>
    <t>9810011016</t>
  </si>
  <si>
    <t>somika.arya@brandinvent.org</t>
  </si>
  <si>
    <t>HR Analyst Intern</t>
  </si>
  <si>
    <t>Intern</t>
  </si>
  <si>
    <t>2026-05-13</t>
  </si>
  <si>
    <t>Suresh Nair</t>
  </si>
  <si>
    <t>F</t>
  </si>
  <si>
    <t>1984-01-30</t>
  </si>
  <si>
    <t>9810011017</t>
  </si>
  <si>
    <t>suresh.nair@brandinvent.org</t>
  </si>
  <si>
    <t>OD Head</t>
  </si>
  <si>
    <t>Organizational Development</t>
  </si>
  <si>
    <t>2018-01-10</t>
  </si>
  <si>
    <t>Meena Iyer</t>
  </si>
  <si>
    <t>1990-05-16</t>
  </si>
  <si>
    <t>9810011018</t>
  </si>
  <si>
    <t>meena.iyer@brandinvent.org</t>
  </si>
  <si>
    <t>OD Consultant</t>
  </si>
  <si>
    <t>2020-07-01</t>
  </si>
  <si>
    <t>Rohit Bansal</t>
  </si>
  <si>
    <t>1993-10-08</t>
  </si>
  <si>
    <t>9810011019</t>
  </si>
  <si>
    <t>rohit.bansal@brandinvent.org</t>
  </si>
  <si>
    <t>Training Specialist</t>
  </si>
  <si>
    <t>2021-09-01</t>
  </si>
  <si>
    <t>Ankita Dubey</t>
  </si>
  <si>
    <t>1997-03-21</t>
  </si>
  <si>
    <t>9810011020</t>
  </si>
  <si>
    <t>ankita.dubey@brandinvent.org</t>
  </si>
  <si>
    <t>L&amp;D Executive</t>
  </si>
  <si>
    <t>2023-02-01</t>
  </si>
  <si>
    <t>Neha Gupta</t>
  </si>
  <si>
    <t>1986-08-12</t>
  </si>
  <si>
    <t>9810011021</t>
  </si>
  <si>
    <t>neha.gupta@brandinvent.org</t>
  </si>
  <si>
    <t>Finance Manager</t>
  </si>
  <si>
    <t>Finance &amp; Accounts</t>
  </si>
  <si>
    <t>2019-11-20</t>
  </si>
  <si>
    <t>Sanjay Kapila</t>
  </si>
  <si>
    <t>1991-04-25</t>
  </si>
  <si>
    <t>9810011022</t>
  </si>
  <si>
    <t>sanjay.kapila@brandinvent.org</t>
  </si>
  <si>
    <t>Senior Accountant</t>
  </si>
  <si>
    <t>2020-06-01</t>
  </si>
  <si>
    <t>Ritu Pandey</t>
  </si>
  <si>
    <t>1995-11-30</t>
  </si>
  <si>
    <t>9810011023</t>
  </si>
  <si>
    <t>ritu.pandey@brandinvent.org</t>
  </si>
  <si>
    <t>Accounts Executive</t>
  </si>
  <si>
    <t>2022-01-15</t>
  </si>
  <si>
    <t>Mohit Agarwal</t>
  </si>
  <si>
    <t>1998-06-17</t>
  </si>
  <si>
    <t>9810011024</t>
  </si>
  <si>
    <t>mohit.agarwal@brandinvent.org</t>
  </si>
  <si>
    <t>Finance Assistant</t>
  </si>
  <si>
    <t>2023-08-01</t>
  </si>
  <si>
    <t>Vikram Bhatia</t>
  </si>
  <si>
    <t>1983-09-05</t>
  </si>
  <si>
    <t>9810011025</t>
  </si>
  <si>
    <t>vikram.bhatia@brandinvent.org</t>
  </si>
  <si>
    <t>Client Relations Head</t>
  </si>
  <si>
    <t>Client Relations</t>
  </si>
  <si>
    <t>Ishaan Malhotra</t>
  </si>
  <si>
    <t>1992-02-14</t>
  </si>
  <si>
    <t>9810011026</t>
  </si>
  <si>
    <t>ishaan.malhotra@brandinvent.org</t>
  </si>
  <si>
    <t>Client Manager</t>
  </si>
  <si>
    <t>2020-04-01</t>
  </si>
  <si>
    <t>58000/-</t>
  </si>
  <si>
    <t>Nisha Rawat</t>
  </si>
  <si>
    <t>1996-08-28</t>
  </si>
  <si>
    <t>9810011027</t>
  </si>
  <si>
    <t>nisha.rawat@brandinvent.org</t>
  </si>
  <si>
    <t>Client Executive</t>
  </si>
  <si>
    <t>2022-06-01</t>
  </si>
  <si>
    <t>Karan Malhotra</t>
  </si>
  <si>
    <t>1993-12-10</t>
  </si>
  <si>
    <t>9810011028</t>
  </si>
  <si>
    <t>karan.malhotra@brandinvent.org</t>
  </si>
  <si>
    <t>2022-07-15</t>
  </si>
  <si>
    <t>active</t>
  </si>
  <si>
    <t>Divya Chawla</t>
  </si>
  <si>
    <t>1994-06-22</t>
  </si>
  <si>
    <t>9810011029</t>
  </si>
  <si>
    <t>divya.chawla@brandinvent.org</t>
  </si>
  <si>
    <t>2021-03-01</t>
  </si>
  <si>
    <t>Resigned</t>
  </si>
  <si>
    <t>Tarun Bose</t>
  </si>
  <si>
    <t>1990-01-15</t>
  </si>
  <si>
    <t>9810011030</t>
  </si>
  <si>
    <t>tarun.bose@brandinvent.org</t>
  </si>
  <si>
    <t>Contract</t>
  </si>
  <si>
    <t>2022-01-10</t>
  </si>
  <si>
    <t>Contract End</t>
  </si>
  <si>
    <t>Pallavi Singh</t>
  </si>
  <si>
    <t>1995-04-08</t>
  </si>
  <si>
    <t>9810011031</t>
  </si>
  <si>
    <t>pallavi.singh@brandinvent.org</t>
  </si>
  <si>
    <t>Aditya Rao</t>
  </si>
  <si>
    <t>1997-10-30</t>
  </si>
  <si>
    <t>9810011032</t>
  </si>
  <si>
    <t>aditya.rao@brandinvent.org</t>
  </si>
  <si>
    <t>2022-03-15</t>
  </si>
  <si>
    <t>Terminated</t>
  </si>
  <si>
    <t>Brand Invent HR — Data Cleaning Process Log</t>
  </si>
  <si>
    <t>Step</t>
  </si>
  <si>
    <t>Issue Found</t>
  </si>
  <si>
    <t>Column Affected</t>
  </si>
  <si>
    <t>Records Affected</t>
  </si>
  <si>
    <t>Action Taken</t>
  </si>
  <si>
    <t>Before</t>
  </si>
  <si>
    <t>After</t>
  </si>
  <si>
    <t>Duplicate rows</t>
  </si>
  <si>
    <t>All columns</t>
  </si>
  <si>
    <t>3 rows (Emp 1005, 1013, 1023)</t>
  </si>
  <si>
    <t>Removed duplicate entries keeping first occurrence</t>
  </si>
  <si>
    <t>35 rows</t>
  </si>
  <si>
    <t>32 rows</t>
  </si>
  <si>
    <t>Missing Gender values</t>
  </si>
  <si>
    <t>3 records (Emp 1008, 1016, 1021)</t>
  </si>
  <si>
    <t>Filled from HR records / marked for review</t>
  </si>
  <si>
    <t>NULL / blank</t>
  </si>
  <si>
    <t>Male / Female</t>
  </si>
  <si>
    <t>Missing Department</t>
  </si>
  <si>
    <t>2 records (Emp 1004, 1019)</t>
  </si>
  <si>
    <t>Filled based on Reporting Manager mapping</t>
  </si>
  <si>
    <t>HR / OD</t>
  </si>
  <si>
    <t>Missing Reporting Manager</t>
  </si>
  <si>
    <t>1 record (Emp 1011)</t>
  </si>
  <si>
    <t>Filled from org chart — Anita Sharma</t>
  </si>
  <si>
    <t>NULL</t>
  </si>
  <si>
    <t>Salary stored as text</t>
  </si>
  <si>
    <t>Basic Salary</t>
  </si>
  <si>
    <t>2 records (Emp 1006, 1025)</t>
  </si>
  <si>
    <t>Removed '/-' suffix, converted to numeric</t>
  </si>
  <si>
    <t>'72000/-'</t>
  </si>
  <si>
    <t>72000</t>
  </si>
  <si>
    <t>Inconsistent gender casing</t>
  </si>
  <si>
    <t>2 records (Emp 1010, 1017)</t>
  </si>
  <si>
    <t>Standardised to 'Male' / 'Female'</t>
  </si>
  <si>
    <t>'male', 'F'</t>
  </si>
  <si>
    <t>'Male', 'Female'</t>
  </si>
  <si>
    <t>Extra whitespace in names</t>
  </si>
  <si>
    <t>2 records (Emp 1002, 1007)</t>
  </si>
  <si>
    <t>Applied TRIM() — removed leading/trailing spaces</t>
  </si>
  <si>
    <t>'  Ritika Joshi  '</t>
  </si>
  <si>
    <t>'Ritika Joshi'</t>
  </si>
  <si>
    <t>Inconsistent status casing</t>
  </si>
  <si>
    <t>1 record (Emp 1028)</t>
  </si>
  <si>
    <t>Standardised to title case</t>
  </si>
  <si>
    <t>'active'</t>
  </si>
  <si>
    <t>'Active'</t>
  </si>
  <si>
    <t>Date format inconsistency</t>
  </si>
  <si>
    <t>Date of Birth, Date of Joining</t>
  </si>
  <si>
    <t>All records</t>
  </si>
  <si>
    <t>Converted all dates to YYYY-MM-DD format</t>
  </si>
  <si>
    <t>Various formats</t>
  </si>
  <si>
    <t>YYYY-MM-DD</t>
  </si>
  <si>
    <t>Negative / zero HRA for Intern</t>
  </si>
  <si>
    <t>1 record (Emp 1016 — Intern)</t>
  </si>
  <si>
    <t>Confirmed 0 is correct for intern — documented</t>
  </si>
  <si>
    <t>0</t>
  </si>
  <si>
    <t>0 (confirmed)</t>
  </si>
  <si>
    <t>Salary range validation</t>
  </si>
  <si>
    <t>Checked all salaries are &gt; 0 and &lt; 200000</t>
  </si>
  <si>
    <t>—</t>
  </si>
  <si>
    <t>All valid</t>
  </si>
  <si>
    <t>Email format validation</t>
  </si>
  <si>
    <t>Verified all emails follow name@brandinvent.org format</t>
  </si>
  <si>
    <t>Emp ID uniqueness check</t>
  </si>
  <si>
    <t>Confirmed no duplicate IDs after deduplication</t>
  </si>
  <si>
    <t>All unique (1001–1032)</t>
  </si>
  <si>
    <t>Employment type standardisation</t>
  </si>
  <si>
    <t>Confirmed values: Full-Time, Part-Time, Intern, Contract only</t>
  </si>
  <si>
    <t>All standardised</t>
  </si>
  <si>
    <t>Brand Invent HR — Cleaned Employee Master Data (32 Records)</t>
  </si>
  <si>
    <t>Brand Invent — Employee Master Record with Computed Fields</t>
  </si>
  <si>
    <t>Emp Type</t>
  </si>
  <si>
    <t>Years of Service</t>
  </si>
  <si>
    <t>HRA</t>
  </si>
  <si>
    <t>Allowances</t>
  </si>
  <si>
    <t>Gross Salary</t>
  </si>
  <si>
    <t>Status</t>
  </si>
  <si>
    <t>Age (Years)</t>
  </si>
  <si>
    <t>Salary Grade</t>
  </si>
  <si>
    <t>HRA %</t>
  </si>
  <si>
    <t>Email</t>
  </si>
  <si>
    <t>Brand Invent — Department-wise Workforce Summary</t>
  </si>
  <si>
    <t>Dept Head</t>
  </si>
  <si>
    <t>Headcount</t>
  </si>
  <si>
    <t>Avg Basic (Rs.)</t>
  </si>
  <si>
    <t>Min Salary</t>
  </si>
  <si>
    <t>Max Salary</t>
  </si>
  <si>
    <t>Total Payroll (Rs.)</t>
  </si>
  <si>
    <t>Payroll Share %</t>
  </si>
  <si>
    <t>Dept Color</t>
  </si>
  <si>
    <t xml:space="preserve">  ██</t>
  </si>
  <si>
    <t>TOTAL</t>
  </si>
  <si>
    <t>100%</t>
  </si>
  <si>
    <t>Brand Invent — Salary Analysis &amp; Compensation Report</t>
  </si>
  <si>
    <t>KEY SALARY METRICS</t>
  </si>
  <si>
    <t>Metric</t>
  </si>
  <si>
    <t>Value</t>
  </si>
  <si>
    <t>Formula Used</t>
  </si>
  <si>
    <t>Total Employees</t>
  </si>
  <si>
    <t>COUNTA</t>
  </si>
  <si>
    <t>Total Gross Payroll</t>
  </si>
  <si>
    <t>SUMPRODUCT with condition</t>
  </si>
  <si>
    <t>Average Basic Salary</t>
  </si>
  <si>
    <t>AVERAGEIF</t>
  </si>
  <si>
    <t>Highest Basic Salary</t>
  </si>
  <si>
    <t>MAX</t>
  </si>
  <si>
    <t>Lowest Basic Salary</t>
  </si>
  <si>
    <t>MIN</t>
  </si>
  <si>
    <t>Median Basic Salary</t>
  </si>
  <si>
    <t>MEDIAN</t>
  </si>
  <si>
    <t>Active Employee Payroll %</t>
  </si>
  <si>
    <t>COUNTIF/COUNTA</t>
  </si>
  <si>
    <t>SALARY BAND ANALYSIS</t>
  </si>
  <si>
    <t>Salary Band</t>
  </si>
  <si>
    <t>Count</t>
  </si>
  <si>
    <t>&lt; Rs. 30,000</t>
  </si>
  <si>
    <t>Rs. 30,000–50,000</t>
  </si>
  <si>
    <t>Rs. 50,000–75,000</t>
  </si>
  <si>
    <t>INDIVIDUAL SALARY BREAKDOWN</t>
  </si>
  <si>
    <t>Basic</t>
  </si>
  <si>
    <t>Gross</t>
  </si>
  <si>
    <t>Brand Invent — Employee Attrition &amp; Exit Analysis</t>
  </si>
  <si>
    <t>ATTRITION KPI SUMMARY</t>
  </si>
  <si>
    <t>Formula</t>
  </si>
  <si>
    <t>Notes</t>
  </si>
  <si>
    <t>Total Headcount (Ever)</t>
  </si>
  <si>
    <t>All records including exits</t>
  </si>
  <si>
    <t>Currently Active</t>
  </si>
  <si>
    <t>COUNTIF</t>
  </si>
  <si>
    <t>Active employees</t>
  </si>
  <si>
    <t>Total Exits</t>
  </si>
  <si>
    <t>All non-active</t>
  </si>
  <si>
    <t>Voluntary exits</t>
  </si>
  <si>
    <t>Contract Ended</t>
  </si>
  <si>
    <t>Contract completions</t>
  </si>
  <si>
    <t>Involuntary exits</t>
  </si>
  <si>
    <t>Attrition Rate (%)</t>
  </si>
  <si>
    <t>Exits / Total headcount</t>
  </si>
  <si>
    <t>Retention Rate (%)</t>
  </si>
  <si>
    <t>FORMULA</t>
  </si>
  <si>
    <t>1 - Attrition Rate</t>
  </si>
  <si>
    <t>EMPLOYEE EXIT LOG</t>
  </si>
  <si>
    <t>Employee Name</t>
  </si>
  <si>
    <t>Exit Reason</t>
  </si>
  <si>
    <t>Date of Exit</t>
  </si>
  <si>
    <t>Resignation</t>
  </si>
  <si>
    <t>2024-03-15</t>
  </si>
  <si>
    <t>2024-05-20</t>
  </si>
  <si>
    <t>2024-01-10</t>
  </si>
  <si>
    <t>2024-07-01</t>
  </si>
  <si>
    <t>Termination</t>
  </si>
  <si>
    <t>2024-09-15</t>
  </si>
  <si>
    <t>Brand Invent — Salary Revision &amp; Promotion Audit Log</t>
  </si>
  <si>
    <t>Log #</t>
  </si>
  <si>
    <t>New Designation</t>
  </si>
  <si>
    <t>Old Basic (Rs.)</t>
  </si>
  <si>
    <t>Increment (Rs.)</t>
  </si>
  <si>
    <t>New Basic (Rs.)</t>
  </si>
  <si>
    <t>Increment %</t>
  </si>
  <si>
    <t>Remarks</t>
  </si>
  <si>
    <t>Annual appraisal FY2024 - Outstanding performance</t>
  </si>
  <si>
    <t>Senior HR Executive</t>
  </si>
  <si>
    <t>Annual appraisal FY2024 - Exceeds expectations</t>
  </si>
  <si>
    <t>Promoted based on client feedback and target achievement</t>
  </si>
  <si>
    <t>Annual appraisal FY2024 - Meets expectations</t>
  </si>
  <si>
    <t>Promoted for leading dashboard reporting project</t>
  </si>
  <si>
    <t>Annual appraisal FY2024 - Strong data management skills</t>
  </si>
  <si>
    <t>Annual appraisal FY2024 - Good analytical contribution</t>
  </si>
  <si>
    <t>Promoted after successful training program delivery</t>
  </si>
  <si>
    <t>Annual appraisal FY2024 - Accurate financial reporting</t>
  </si>
  <si>
    <t>Promoted after retaining 3 key client accounts</t>
  </si>
  <si>
    <t>Brand Invent HR — Executive Dashboard Summary</t>
  </si>
  <si>
    <t>Prepared by: Somika Arya  |  HR Analyst Intern  |  Brand Invent, New Delhi  |  May–July 2026  |  Amity University UP, MBE 2025–27</t>
  </si>
  <si>
    <t>Total
Employees</t>
  </si>
  <si>
    <t>Active
Staff</t>
  </si>
  <si>
    <t>Total
Exits</t>
  </si>
  <si>
    <t>Attrition
Rate</t>
  </si>
  <si>
    <t>Promotions
FY24</t>
  </si>
  <si>
    <t>10</t>
  </si>
  <si>
    <t>▓▓▓▓▓▓</t>
  </si>
  <si>
    <t>DEPARTMENT WORKFORCE OVERVIEW</t>
  </si>
  <si>
    <t>Head</t>
  </si>
  <si>
    <t>Avg Salary</t>
  </si>
  <si>
    <t>Payroll</t>
  </si>
  <si>
    <t>%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</si>
</sst>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yrs&quot;"/>
    <numFmt numFmtId="165" formatCode="\₹#,##0"/>
    <numFmt numFmtId="166" formatCode="0.0%"/>
  </numFmts>
  <fonts count="2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7B4E00"/>
      <name val="Arial"/>
      <charset val="1"/>
    </font>
    <font>
      <b/>
      <sz val="9"/>
      <color rgb="FFFFFFFF"/>
      <name val="Arial"/>
      <charset val="1"/>
    </font>
    <font>
      <sz val="10"/>
      <color rgb="FF1A1A1A"/>
      <name val="Arial"/>
      <charset val="1"/>
    </font>
    <font>
      <i/>
      <sz val="9"/>
      <color rgb="FFE24B4A"/>
      <name val="Arial"/>
      <charset val="1"/>
    </font>
    <font>
      <sz val="9"/>
      <color rgb="FFBA7517"/>
      <name val="Arial"/>
      <charset val="1"/>
    </font>
    <font>
      <sz val="9"/>
      <color rgb="FF1A1A1A"/>
      <name val="Arial"/>
      <charset val="1"/>
    </font>
    <font>
      <b/>
      <sz val="9"/>
      <color rgb="FF1D9E75"/>
      <name val="Arial"/>
      <charset val="1"/>
    </font>
    <font>
      <b/>
      <sz val="9"/>
      <color rgb="FFE24B4A"/>
      <name val="Arial"/>
      <charset val="1"/>
    </font>
    <font>
      <b/>
      <sz val="9"/>
      <color rgb="FFBA7517"/>
      <name val="Arial"/>
      <charset val="1"/>
    </font>
    <font>
      <b/>
      <sz val="9"/>
      <color rgb="FFD85A30"/>
      <name val="Arial"/>
      <charset val="1"/>
    </font>
    <font>
      <b/>
      <sz val="9"/>
      <color rgb="FF1A2A4A"/>
      <name val="Arial"/>
      <charset val="1"/>
    </font>
    <font>
      <sz val="9"/>
      <color rgb="FF378ADD"/>
      <name val="Arial"/>
      <charset val="1"/>
    </font>
    <font>
      <b/>
      <sz val="9"/>
      <color rgb="FF378ADD"/>
      <name val="Arial"/>
      <charset val="1"/>
    </font>
    <font>
      <b/>
      <sz val="11"/>
      <color rgb="FF378ADD"/>
      <name val="Arial"/>
      <charset val="1"/>
    </font>
    <font>
      <b/>
      <sz val="9"/>
      <color rgb="FF7F77DD"/>
      <name val="Arial"/>
      <charset val="1"/>
    </font>
    <font>
      <b/>
      <sz val="11"/>
      <color rgb="FF7F77DD"/>
      <name val="Arial"/>
      <charset val="1"/>
    </font>
    <font>
      <b/>
      <sz val="11"/>
      <color rgb="FF1D9E75"/>
      <name val="Arial"/>
      <charset val="1"/>
    </font>
    <font>
      <b/>
      <sz val="11"/>
      <color rgb="FFBA7517"/>
      <name val="Arial"/>
      <charset val="1"/>
    </font>
    <font>
      <b/>
      <sz val="9"/>
      <color rgb="FF639922"/>
      <name val="Arial"/>
      <charset val="1"/>
    </font>
    <font>
      <b/>
      <sz val="11"/>
      <color rgb="FF639922"/>
      <name val="Arial"/>
      <charset val="1"/>
    </font>
    <font>
      <b/>
      <sz val="11"/>
      <color rgb="FFD85A30"/>
      <name val="Arial"/>
      <charset val="1"/>
    </font>
    <font>
      <sz val="9"/>
      <color rgb="FF639922"/>
      <name val="Arial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6"/>
      <color rgb="FFFFFFFF"/>
      <name val="Arial"/>
      <charset val="1"/>
    </font>
    <font>
      <sz val="6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E24B4A"/>
        <bgColor rgb="FFD85A30"/>
      </patternFill>
    </fill>
    <fill>
      <patternFill patternType="solid">
        <fgColor rgb="FFFFF3CD"/>
        <bgColor rgb="FFFFF0CC"/>
      </patternFill>
    </fill>
    <fill>
      <patternFill patternType="solid">
        <fgColor rgb="FF1A2A4A"/>
        <bgColor rgb="FF003366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FFE5E5"/>
        <bgColor rgb="FFFFF0CC"/>
      </patternFill>
    </fill>
    <fill>
      <patternFill patternType="solid">
        <fgColor rgb="FFFFF0CC"/>
        <bgColor rgb="FFFFF3CD"/>
      </patternFill>
    </fill>
    <fill>
      <patternFill patternType="solid">
        <fgColor rgb="FFBA7517"/>
        <bgColor rgb="FFD85A30"/>
      </patternFill>
    </fill>
    <fill>
      <patternFill patternType="solid">
        <fgColor rgb="FF1D9E75"/>
        <bgColor rgb="FF008080"/>
      </patternFill>
    </fill>
    <fill>
      <patternFill patternType="solid">
        <fgColor rgb="FF7F77DD"/>
        <bgColor rgb="FF9999FF"/>
      </patternFill>
    </fill>
    <fill>
      <patternFill patternType="solid">
        <fgColor rgb="FF378ADD"/>
        <bgColor rgb="FF1D9E75"/>
      </patternFill>
    </fill>
    <fill>
      <patternFill patternType="solid">
        <fgColor rgb="FF639922"/>
        <bgColor rgb="FF666666"/>
      </patternFill>
    </fill>
    <fill>
      <patternFill patternType="solid">
        <fgColor rgb="FFD85A30"/>
        <bgColor rgb="FFE24B4A"/>
      </patternFill>
    </fill>
  </fills>
  <borders count="6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  <border>
      <left style="thin">
        <color rgb="FFE0E4EA"/>
      </left>
      <right style="thin">
        <color rgb="FFE0E4EA"/>
      </right>
      <top style="thin">
        <color rgb="FFE0E4EA"/>
      </top>
      <bottom style="thin">
        <color rgb="FFE0E4EA"/>
      </bottom>
      <diagonal/>
    </border>
    <border>
      <left style="thin">
        <color rgb="FF2A4070"/>
      </left>
      <right style="thin">
        <color rgb="FF2A4070"/>
      </right>
      <top style="thin">
        <color rgb="FF2A4070"/>
      </top>
      <bottom style="thin">
        <color rgb="FF2A407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A2A4A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9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0" fontId="1" fillId="1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right" vertical="center"/>
    </xf>
    <xf numFmtId="165" fontId="12" fillId="6" borderId="2" xfId="0" applyNumberFormat="1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right" vertical="center"/>
    </xf>
    <xf numFmtId="165" fontId="12" fillId="5" borderId="2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6" fontId="14" fillId="6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6" fillId="5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/>
    <xf numFmtId="166" fontId="8" fillId="6" borderId="2" xfId="0" applyNumberFormat="1" applyFont="1" applyFill="1" applyBorder="1" applyAlignment="1">
      <alignment horizontal="center" vertical="center"/>
    </xf>
    <xf numFmtId="0" fontId="18" fillId="10" borderId="2" xfId="0" applyFont="1" applyFill="1" applyBorder="1"/>
    <xf numFmtId="166" fontId="10" fillId="5" borderId="2" xfId="0" applyNumberFormat="1" applyFont="1" applyFill="1" applyBorder="1" applyAlignment="1">
      <alignment horizontal="center" vertical="center"/>
    </xf>
    <xf numFmtId="0" fontId="19" fillId="9" borderId="2" xfId="0" applyFont="1" applyFill="1" applyBorder="1"/>
    <xf numFmtId="166" fontId="20" fillId="6" borderId="2" xfId="0" applyNumberFormat="1" applyFont="1" applyFill="1" applyBorder="1" applyAlignment="1">
      <alignment horizontal="center" vertical="center"/>
    </xf>
    <xf numFmtId="0" fontId="21" fillId="13" borderId="2" xfId="0" applyFont="1" applyFill="1" applyBorder="1"/>
    <xf numFmtId="166" fontId="11" fillId="5" borderId="2" xfId="0" applyNumberFormat="1" applyFont="1" applyFill="1" applyBorder="1" applyAlignment="1">
      <alignment horizontal="center" vertical="center"/>
    </xf>
    <xf numFmtId="0" fontId="22" fillId="14" borderId="2" xfId="0" applyFont="1" applyFill="1" applyBorder="1"/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5" fontId="20" fillId="5" borderId="2" xfId="0" applyNumberFormat="1" applyFont="1" applyFill="1" applyBorder="1" applyAlignment="1">
      <alignment horizontal="left" vertical="center"/>
    </xf>
    <xf numFmtId="165" fontId="20" fillId="6" borderId="2" xfId="0" applyNumberFormat="1" applyFont="1" applyFill="1" applyBorder="1" applyAlignment="1">
      <alignment horizontal="left" vertical="center"/>
    </xf>
    <xf numFmtId="3" fontId="20" fillId="5" borderId="2" xfId="0" applyNumberFormat="1" applyFont="1" applyFill="1" applyBorder="1" applyAlignment="1">
      <alignment horizontal="left" vertical="center"/>
    </xf>
    <xf numFmtId="9" fontId="20" fillId="6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66" fontId="13" fillId="6" borderId="2" xfId="0" applyNumberFormat="1" applyFont="1" applyFill="1" applyBorder="1" applyAlignment="1">
      <alignment horizontal="center" vertical="center"/>
    </xf>
    <xf numFmtId="166" fontId="13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10" fontId="9" fillId="5" borderId="2" xfId="0" applyNumberFormat="1" applyFont="1" applyFill="1" applyBorder="1" applyAlignment="1">
      <alignment horizontal="left" vertical="center"/>
    </xf>
    <xf numFmtId="10" fontId="20" fillId="6" borderId="2" xfId="0" applyNumberFormat="1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right" vertical="center"/>
    </xf>
    <xf numFmtId="166" fontId="23" fillId="6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right" vertical="center"/>
    </xf>
    <xf numFmtId="166" fontId="23" fillId="5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/>
    <xf numFmtId="165" fontId="3" fillId="4" borderId="3" xfId="0" applyNumberFormat="1" applyFont="1" applyFill="1" applyBorder="1" applyAlignment="1">
      <alignment horizontal="right" vertical="center"/>
    </xf>
    <xf numFmtId="166" fontId="3" fillId="4" borderId="3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/>
    </xf>
    <xf numFmtId="166" fontId="14" fillId="5" borderId="2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166" fontId="16" fillId="6" borderId="2" xfId="0" applyNumberFormat="1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166" fontId="10" fillId="6" borderId="2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66" fontId="11" fillId="6" borderId="2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26" fillId="12" borderId="5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166" fontId="26" fillId="9" borderId="5" xfId="0" applyNumberFormat="1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008080"/>
      <rgbColor rgb="FFB0B8C8"/>
      <rgbColor rgb="FF7F77DD"/>
      <rgbColor rgb="FF9999FF"/>
      <rgbColor rgb="FFE24B4A"/>
      <rgbColor rgb="FFFFF3CD"/>
      <rgbColor rgb="FFF5F7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4EA"/>
      <rgbColor rgb="FFCCFFCC"/>
      <rgbColor rgb="FFFFF0CC"/>
      <rgbColor rgb="FF99CCFF"/>
      <rgbColor rgb="FFFF99CC"/>
      <rgbColor rgb="FFCC99FF"/>
      <rgbColor rgb="FFFFE5E5"/>
      <rgbColor rgb="FF378ADD"/>
      <rgbColor rgb="FF33CCCC"/>
      <rgbColor rgb="FF99CC00"/>
      <rgbColor rgb="FFFFCC00"/>
      <rgbColor rgb="FFBA7517"/>
      <rgbColor rgb="FFD85A30"/>
      <rgbColor rgb="FF666666"/>
      <rgbColor rgb="FF969696"/>
      <rgbColor rgb="FF003366"/>
      <rgbColor rgb="FF1D9E75"/>
      <rgbColor rgb="FF003300"/>
      <rgbColor rgb="FF1A1A1A"/>
      <rgbColor rgb="FF7B4E00"/>
      <rgbColor rgb="FF993366"/>
      <rgbColor rgb="FF2A4070"/>
      <rgbColor rgb="FF1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4B4A"/>
  </sheetPr>
  <dimension ref="A1:O38"/>
  <sheetViews>
    <sheetView topLeftCell="F1" zoomScaleNormal="100" workbookViewId="0">
      <pane ySplit="3" topLeftCell="A4" activePane="bottomLeft" state="frozen"/>
      <selection pane="bottomLeft" activeCell="M21" sqref="M21"/>
    </sheetView>
  </sheetViews>
  <sheetFormatPr defaultColWidth="8.6640625" defaultRowHeight="14.4" x14ac:dyDescent="0.3"/>
  <cols>
    <col min="1" max="1" width="10.77734375" bestFit="1" customWidth="1"/>
    <col min="2" max="2" width="15.21875" bestFit="1" customWidth="1"/>
    <col min="3" max="3" width="11.21875" bestFit="1" customWidth="1"/>
    <col min="4" max="4" width="15.21875" bestFit="1" customWidth="1"/>
    <col min="5" max="5" width="14.44140625" bestFit="1" customWidth="1"/>
    <col min="6" max="6" width="28.6640625" bestFit="1" customWidth="1"/>
    <col min="7" max="7" width="19.109375" bestFit="1" customWidth="1"/>
    <col min="8" max="8" width="23.77734375" bestFit="1" customWidth="1"/>
    <col min="9" max="9" width="19.21875" bestFit="1" customWidth="1"/>
    <col min="10" max="10" width="17.109375" bestFit="1" customWidth="1"/>
    <col min="11" max="11" width="19" bestFit="1" customWidth="1"/>
    <col min="12" max="12" width="12.77734375" bestFit="1" customWidth="1"/>
    <col min="13" max="13" width="18.21875" bestFit="1" customWidth="1"/>
    <col min="14" max="14" width="20.33203125" bestFit="1" customWidth="1"/>
    <col min="15" max="15" width="20.5546875" bestFit="1" customWidth="1"/>
  </cols>
  <sheetData>
    <row r="1" spans="1:15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21.75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</row>
    <row r="4" spans="1:15" x14ac:dyDescent="0.3">
      <c r="A4" s="16">
        <v>1001</v>
      </c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6">
        <v>95000</v>
      </c>
      <c r="L4" s="16">
        <v>28500</v>
      </c>
      <c r="M4" s="16">
        <v>12000</v>
      </c>
      <c r="N4" s="16" t="s">
        <v>26</v>
      </c>
      <c r="O4" s="16" t="s">
        <v>27</v>
      </c>
    </row>
    <row r="5" spans="1:15" x14ac:dyDescent="0.3">
      <c r="A5" s="17">
        <v>1002</v>
      </c>
      <c r="B5" s="17" t="s">
        <v>28</v>
      </c>
      <c r="C5" s="17" t="s">
        <v>18</v>
      </c>
      <c r="D5" s="17" t="s">
        <v>29</v>
      </c>
      <c r="E5" s="17" t="s">
        <v>30</v>
      </c>
      <c r="F5" s="17" t="s">
        <v>31</v>
      </c>
      <c r="G5" s="17" t="s">
        <v>32</v>
      </c>
      <c r="H5" s="17" t="s">
        <v>23</v>
      </c>
      <c r="I5" s="17" t="s">
        <v>24</v>
      </c>
      <c r="J5" s="17" t="s">
        <v>33</v>
      </c>
      <c r="K5" s="17">
        <v>70000</v>
      </c>
      <c r="L5" s="17">
        <v>21000</v>
      </c>
      <c r="M5" s="17">
        <v>9000</v>
      </c>
      <c r="N5" s="17" t="s">
        <v>26</v>
      </c>
      <c r="O5" s="17" t="s">
        <v>17</v>
      </c>
    </row>
    <row r="6" spans="1:15" x14ac:dyDescent="0.3">
      <c r="A6" s="16">
        <v>1003</v>
      </c>
      <c r="B6" s="16" t="s">
        <v>34</v>
      </c>
      <c r="C6" s="16" t="s">
        <v>35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23</v>
      </c>
      <c r="I6" s="16" t="s">
        <v>24</v>
      </c>
      <c r="J6" s="16" t="s">
        <v>40</v>
      </c>
      <c r="K6" s="16">
        <v>42000</v>
      </c>
      <c r="L6" s="16">
        <v>12600</v>
      </c>
      <c r="M6" s="16">
        <v>5000</v>
      </c>
      <c r="N6" s="16" t="s">
        <v>26</v>
      </c>
      <c r="O6" s="16" t="s">
        <v>41</v>
      </c>
    </row>
    <row r="7" spans="1:15" x14ac:dyDescent="0.3">
      <c r="A7" s="17">
        <v>1004</v>
      </c>
      <c r="B7" s="17" t="s">
        <v>42</v>
      </c>
      <c r="C7" s="17" t="s">
        <v>18</v>
      </c>
      <c r="D7" s="17" t="s">
        <v>43</v>
      </c>
      <c r="E7" s="17" t="s">
        <v>44</v>
      </c>
      <c r="F7" s="17" t="s">
        <v>45</v>
      </c>
      <c r="G7" s="17" t="s">
        <v>46</v>
      </c>
      <c r="H7" s="18" t="s">
        <v>47</v>
      </c>
      <c r="I7" s="17" t="s">
        <v>24</v>
      </c>
      <c r="J7" s="17" t="s">
        <v>48</v>
      </c>
      <c r="K7" s="17">
        <v>35000</v>
      </c>
      <c r="L7" s="17">
        <v>10500</v>
      </c>
      <c r="M7" s="17">
        <v>4000</v>
      </c>
      <c r="N7" s="17" t="s">
        <v>26</v>
      </c>
      <c r="O7" s="17" t="s">
        <v>41</v>
      </c>
    </row>
    <row r="8" spans="1:15" x14ac:dyDescent="0.3">
      <c r="A8" s="16">
        <v>1005</v>
      </c>
      <c r="B8" s="16" t="s">
        <v>49</v>
      </c>
      <c r="C8" s="16" t="s">
        <v>35</v>
      </c>
      <c r="D8" s="16" t="s">
        <v>50</v>
      </c>
      <c r="E8" s="16" t="s">
        <v>51</v>
      </c>
      <c r="F8" s="16" t="s">
        <v>52</v>
      </c>
      <c r="G8" s="16" t="s">
        <v>53</v>
      </c>
      <c r="H8" s="16" t="s">
        <v>23</v>
      </c>
      <c r="I8" s="16" t="s">
        <v>24</v>
      </c>
      <c r="J8" s="16" t="s">
        <v>54</v>
      </c>
      <c r="K8" s="16">
        <v>28000</v>
      </c>
      <c r="L8" s="16">
        <v>8400</v>
      </c>
      <c r="M8" s="16">
        <v>3500</v>
      </c>
      <c r="N8" s="16" t="s">
        <v>26</v>
      </c>
      <c r="O8" s="16" t="s">
        <v>34</v>
      </c>
    </row>
    <row r="9" spans="1:15" x14ac:dyDescent="0.3">
      <c r="A9" s="17">
        <v>1005</v>
      </c>
      <c r="B9" s="17" t="s">
        <v>49</v>
      </c>
      <c r="C9" s="17" t="s">
        <v>35</v>
      </c>
      <c r="D9" s="17" t="s">
        <v>50</v>
      </c>
      <c r="E9" s="17" t="s">
        <v>51</v>
      </c>
      <c r="F9" s="17" t="s">
        <v>52</v>
      </c>
      <c r="G9" s="17" t="s">
        <v>53</v>
      </c>
      <c r="H9" s="17" t="s">
        <v>23</v>
      </c>
      <c r="I9" s="17" t="s">
        <v>24</v>
      </c>
      <c r="J9" s="17" t="s">
        <v>54</v>
      </c>
      <c r="K9" s="17">
        <v>28000</v>
      </c>
      <c r="L9" s="17">
        <v>8400</v>
      </c>
      <c r="M9" s="17">
        <v>3500</v>
      </c>
      <c r="N9" s="17" t="s">
        <v>26</v>
      </c>
      <c r="O9" s="17" t="s">
        <v>34</v>
      </c>
    </row>
    <row r="10" spans="1:15" x14ac:dyDescent="0.3">
      <c r="A10" s="16">
        <v>1006</v>
      </c>
      <c r="B10" s="16" t="s">
        <v>55</v>
      </c>
      <c r="C10" s="16" t="s">
        <v>35</v>
      </c>
      <c r="D10" s="16" t="s">
        <v>56</v>
      </c>
      <c r="E10" s="16" t="s">
        <v>57</v>
      </c>
      <c r="F10" s="16" t="s">
        <v>58</v>
      </c>
      <c r="G10" s="16" t="s">
        <v>59</v>
      </c>
      <c r="H10" s="16" t="s">
        <v>60</v>
      </c>
      <c r="I10" s="16" t="s">
        <v>24</v>
      </c>
      <c r="J10" s="16" t="s">
        <v>61</v>
      </c>
      <c r="K10" s="19" t="s">
        <v>62</v>
      </c>
      <c r="L10" s="16">
        <v>21600</v>
      </c>
      <c r="M10" s="16">
        <v>9500</v>
      </c>
      <c r="N10" s="16" t="s">
        <v>26</v>
      </c>
      <c r="O10" s="16" t="s">
        <v>17</v>
      </c>
    </row>
    <row r="11" spans="1:15" x14ac:dyDescent="0.3">
      <c r="A11" s="17">
        <v>1007</v>
      </c>
      <c r="B11" s="17" t="s">
        <v>63</v>
      </c>
      <c r="C11" s="17" t="s">
        <v>18</v>
      </c>
      <c r="D11" s="17" t="s">
        <v>64</v>
      </c>
      <c r="E11" s="17" t="s">
        <v>65</v>
      </c>
      <c r="F11" s="17" t="s">
        <v>66</v>
      </c>
      <c r="G11" s="17" t="s">
        <v>67</v>
      </c>
      <c r="H11" s="17" t="s">
        <v>60</v>
      </c>
      <c r="I11" s="17" t="s">
        <v>24</v>
      </c>
      <c r="J11" s="17" t="s">
        <v>68</v>
      </c>
      <c r="K11" s="17">
        <v>52000</v>
      </c>
      <c r="L11" s="17">
        <v>15600</v>
      </c>
      <c r="M11" s="17">
        <v>6500</v>
      </c>
      <c r="N11" s="17" t="s">
        <v>26</v>
      </c>
      <c r="O11" s="17" t="s">
        <v>55</v>
      </c>
    </row>
    <row r="12" spans="1:15" x14ac:dyDescent="0.3">
      <c r="A12" s="16">
        <v>1008</v>
      </c>
      <c r="B12" s="16" t="s">
        <v>69</v>
      </c>
      <c r="C12" s="18" t="s">
        <v>47</v>
      </c>
      <c r="D12" s="16" t="s">
        <v>70</v>
      </c>
      <c r="E12" s="16" t="s">
        <v>71</v>
      </c>
      <c r="F12" s="16" t="s">
        <v>72</v>
      </c>
      <c r="G12" s="16" t="s">
        <v>73</v>
      </c>
      <c r="H12" s="16" t="s">
        <v>60</v>
      </c>
      <c r="I12" s="16" t="s">
        <v>24</v>
      </c>
      <c r="J12" s="16" t="s">
        <v>74</v>
      </c>
      <c r="K12" s="16">
        <v>40000</v>
      </c>
      <c r="L12" s="16">
        <v>12000</v>
      </c>
      <c r="M12" s="16">
        <v>5000</v>
      </c>
      <c r="N12" s="16" t="s">
        <v>26</v>
      </c>
      <c r="O12" s="16" t="s">
        <v>55</v>
      </c>
    </row>
    <row r="13" spans="1:15" x14ac:dyDescent="0.3">
      <c r="A13" s="17">
        <v>1009</v>
      </c>
      <c r="B13" s="17" t="s">
        <v>75</v>
      </c>
      <c r="C13" s="17" t="s">
        <v>18</v>
      </c>
      <c r="D13" s="17" t="s">
        <v>76</v>
      </c>
      <c r="E13" s="17" t="s">
        <v>77</v>
      </c>
      <c r="F13" s="17" t="s">
        <v>78</v>
      </c>
      <c r="G13" s="17" t="s">
        <v>79</v>
      </c>
      <c r="H13" s="17" t="s">
        <v>60</v>
      </c>
      <c r="I13" s="17" t="s">
        <v>24</v>
      </c>
      <c r="J13" s="17" t="s">
        <v>80</v>
      </c>
      <c r="K13" s="17">
        <v>32000</v>
      </c>
      <c r="L13" s="17">
        <v>9600</v>
      </c>
      <c r="M13" s="17">
        <v>4000</v>
      </c>
      <c r="N13" s="17" t="s">
        <v>26</v>
      </c>
      <c r="O13" s="17" t="s">
        <v>81</v>
      </c>
    </row>
    <row r="14" spans="1:15" x14ac:dyDescent="0.3">
      <c r="A14" s="16">
        <v>1010</v>
      </c>
      <c r="B14" s="16" t="s">
        <v>82</v>
      </c>
      <c r="C14" s="16" t="s">
        <v>83</v>
      </c>
      <c r="D14" s="16" t="s">
        <v>84</v>
      </c>
      <c r="E14" s="16" t="s">
        <v>85</v>
      </c>
      <c r="F14" s="16" t="s">
        <v>86</v>
      </c>
      <c r="G14" s="16" t="s">
        <v>87</v>
      </c>
      <c r="H14" s="16" t="s">
        <v>60</v>
      </c>
      <c r="I14" s="16" t="s">
        <v>24</v>
      </c>
      <c r="J14" s="16" t="s">
        <v>88</v>
      </c>
      <c r="K14" s="16">
        <v>27000</v>
      </c>
      <c r="L14" s="16">
        <v>8100</v>
      </c>
      <c r="M14" s="16">
        <v>3000</v>
      </c>
      <c r="N14" s="16" t="s">
        <v>26</v>
      </c>
      <c r="O14" s="16" t="s">
        <v>69</v>
      </c>
    </row>
    <row r="15" spans="1:15" x14ac:dyDescent="0.3">
      <c r="A15" s="17">
        <v>1011</v>
      </c>
      <c r="B15" s="17" t="s">
        <v>89</v>
      </c>
      <c r="C15" s="17" t="s">
        <v>18</v>
      </c>
      <c r="D15" s="17" t="s">
        <v>90</v>
      </c>
      <c r="E15" s="17" t="s">
        <v>91</v>
      </c>
      <c r="F15" s="17" t="s">
        <v>92</v>
      </c>
      <c r="G15" s="17" t="s">
        <v>93</v>
      </c>
      <c r="H15" s="17" t="s">
        <v>94</v>
      </c>
      <c r="I15" s="17" t="s">
        <v>24</v>
      </c>
      <c r="J15" s="17" t="s">
        <v>95</v>
      </c>
      <c r="K15" s="17">
        <v>78000</v>
      </c>
      <c r="L15" s="17">
        <v>23400</v>
      </c>
      <c r="M15" s="17">
        <v>10000</v>
      </c>
      <c r="N15" s="17" t="s">
        <v>26</v>
      </c>
      <c r="O15" s="18" t="s">
        <v>47</v>
      </c>
    </row>
    <row r="16" spans="1:15" x14ac:dyDescent="0.3">
      <c r="A16" s="16">
        <v>1012</v>
      </c>
      <c r="B16" s="16" t="s">
        <v>96</v>
      </c>
      <c r="C16" s="16" t="s">
        <v>35</v>
      </c>
      <c r="D16" s="16" t="s">
        <v>97</v>
      </c>
      <c r="E16" s="16" t="s">
        <v>98</v>
      </c>
      <c r="F16" s="16" t="s">
        <v>99</v>
      </c>
      <c r="G16" s="16" t="s">
        <v>100</v>
      </c>
      <c r="H16" s="16" t="s">
        <v>94</v>
      </c>
      <c r="I16" s="16" t="s">
        <v>24</v>
      </c>
      <c r="J16" s="16" t="s">
        <v>101</v>
      </c>
      <c r="K16" s="16">
        <v>58000</v>
      </c>
      <c r="L16" s="16">
        <v>17400</v>
      </c>
      <c r="M16" s="16">
        <v>7500</v>
      </c>
      <c r="N16" s="16" t="s">
        <v>26</v>
      </c>
      <c r="O16" s="16" t="s">
        <v>89</v>
      </c>
    </row>
    <row r="17" spans="1:15" x14ac:dyDescent="0.3">
      <c r="A17" s="17">
        <v>1013</v>
      </c>
      <c r="B17" s="17" t="s">
        <v>102</v>
      </c>
      <c r="C17" s="17" t="s">
        <v>18</v>
      </c>
      <c r="D17" s="17" t="s">
        <v>103</v>
      </c>
      <c r="E17" s="17" t="s">
        <v>104</v>
      </c>
      <c r="F17" s="17" t="s">
        <v>105</v>
      </c>
      <c r="G17" s="17" t="s">
        <v>106</v>
      </c>
      <c r="H17" s="17" t="s">
        <v>94</v>
      </c>
      <c r="I17" s="17" t="s">
        <v>24</v>
      </c>
      <c r="J17" s="17" t="s">
        <v>107</v>
      </c>
      <c r="K17" s="17">
        <v>45000</v>
      </c>
      <c r="L17" s="17">
        <v>13500</v>
      </c>
      <c r="M17" s="17">
        <v>5500</v>
      </c>
      <c r="N17" s="17" t="s">
        <v>26</v>
      </c>
      <c r="O17" s="17" t="s">
        <v>89</v>
      </c>
    </row>
    <row r="18" spans="1:15" x14ac:dyDescent="0.3">
      <c r="A18" s="16">
        <v>1013</v>
      </c>
      <c r="B18" s="16" t="s">
        <v>102</v>
      </c>
      <c r="C18" s="16" t="s">
        <v>18</v>
      </c>
      <c r="D18" s="16" t="s">
        <v>103</v>
      </c>
      <c r="E18" s="16" t="s">
        <v>104</v>
      </c>
      <c r="F18" s="16" t="s">
        <v>105</v>
      </c>
      <c r="G18" s="16" t="s">
        <v>106</v>
      </c>
      <c r="H18" s="16" t="s">
        <v>94</v>
      </c>
      <c r="I18" s="16" t="s">
        <v>24</v>
      </c>
      <c r="J18" s="16" t="s">
        <v>107</v>
      </c>
      <c r="K18" s="16">
        <v>45000</v>
      </c>
      <c r="L18" s="16">
        <v>13500</v>
      </c>
      <c r="M18" s="16">
        <v>5500</v>
      </c>
      <c r="N18" s="16" t="s">
        <v>26</v>
      </c>
      <c r="O18" s="16" t="s">
        <v>89</v>
      </c>
    </row>
    <row r="19" spans="1:15" x14ac:dyDescent="0.3">
      <c r="A19" s="17">
        <v>1014</v>
      </c>
      <c r="B19" s="17" t="s">
        <v>108</v>
      </c>
      <c r="C19" s="17" t="s">
        <v>35</v>
      </c>
      <c r="D19" s="17" t="s">
        <v>109</v>
      </c>
      <c r="E19" s="17" t="s">
        <v>110</v>
      </c>
      <c r="F19" s="17" t="s">
        <v>111</v>
      </c>
      <c r="G19" s="17" t="s">
        <v>112</v>
      </c>
      <c r="H19" s="17" t="s">
        <v>94</v>
      </c>
      <c r="I19" s="17" t="s">
        <v>24</v>
      </c>
      <c r="J19" s="17" t="s">
        <v>113</v>
      </c>
      <c r="K19" s="17">
        <v>42000</v>
      </c>
      <c r="L19" s="17">
        <v>12600</v>
      </c>
      <c r="M19" s="17">
        <v>5000</v>
      </c>
      <c r="N19" s="17" t="s">
        <v>26</v>
      </c>
      <c r="O19" s="17" t="s">
        <v>96</v>
      </c>
    </row>
    <row r="20" spans="1:15" x14ac:dyDescent="0.3">
      <c r="A20" s="16">
        <v>1015</v>
      </c>
      <c r="B20" s="16" t="s">
        <v>114</v>
      </c>
      <c r="C20" s="16" t="s">
        <v>18</v>
      </c>
      <c r="D20" s="16" t="s">
        <v>115</v>
      </c>
      <c r="E20" s="16" t="s">
        <v>116</v>
      </c>
      <c r="F20" s="16" t="s">
        <v>117</v>
      </c>
      <c r="G20" s="16" t="s">
        <v>118</v>
      </c>
      <c r="H20" s="16" t="s">
        <v>94</v>
      </c>
      <c r="I20" s="16" t="s">
        <v>24</v>
      </c>
      <c r="J20" s="16" t="s">
        <v>119</v>
      </c>
      <c r="K20" s="16">
        <v>32000</v>
      </c>
      <c r="L20" s="16">
        <v>9600</v>
      </c>
      <c r="M20" s="16">
        <v>4000</v>
      </c>
      <c r="N20" s="16" t="s">
        <v>26</v>
      </c>
      <c r="O20" s="16" t="s">
        <v>102</v>
      </c>
    </row>
    <row r="21" spans="1:15" x14ac:dyDescent="0.3">
      <c r="A21" s="17">
        <v>1016</v>
      </c>
      <c r="B21" s="17" t="s">
        <v>120</v>
      </c>
      <c r="C21" s="18" t="s">
        <v>47</v>
      </c>
      <c r="D21" s="17" t="s">
        <v>121</v>
      </c>
      <c r="E21" s="17" t="s">
        <v>122</v>
      </c>
      <c r="F21" s="17" t="s">
        <v>123</v>
      </c>
      <c r="G21" s="17" t="s">
        <v>124</v>
      </c>
      <c r="H21" s="17" t="s">
        <v>94</v>
      </c>
      <c r="I21" s="17" t="s">
        <v>125</v>
      </c>
      <c r="J21" s="17" t="s">
        <v>126</v>
      </c>
      <c r="K21" s="17">
        <v>5000</v>
      </c>
      <c r="L21" s="17">
        <v>0</v>
      </c>
      <c r="M21" s="17">
        <v>0</v>
      </c>
      <c r="N21" s="17" t="s">
        <v>26</v>
      </c>
      <c r="O21" s="17" t="s">
        <v>89</v>
      </c>
    </row>
    <row r="22" spans="1:15" x14ac:dyDescent="0.3">
      <c r="A22" s="16">
        <v>1017</v>
      </c>
      <c r="B22" s="16" t="s">
        <v>127</v>
      </c>
      <c r="C22" s="16" t="s">
        <v>128</v>
      </c>
      <c r="D22" s="16" t="s">
        <v>129</v>
      </c>
      <c r="E22" s="16" t="s">
        <v>130</v>
      </c>
      <c r="F22" s="16" t="s">
        <v>131</v>
      </c>
      <c r="G22" s="16" t="s">
        <v>132</v>
      </c>
      <c r="H22" s="16" t="s">
        <v>133</v>
      </c>
      <c r="I22" s="16" t="s">
        <v>24</v>
      </c>
      <c r="J22" s="16" t="s">
        <v>134</v>
      </c>
      <c r="K22" s="16">
        <v>75000</v>
      </c>
      <c r="L22" s="16">
        <v>22500</v>
      </c>
      <c r="M22" s="16">
        <v>9500</v>
      </c>
      <c r="N22" s="16" t="s">
        <v>26</v>
      </c>
      <c r="O22" s="16" t="s">
        <v>17</v>
      </c>
    </row>
    <row r="23" spans="1:15" x14ac:dyDescent="0.3">
      <c r="A23" s="17">
        <v>1018</v>
      </c>
      <c r="B23" s="17" t="s">
        <v>135</v>
      </c>
      <c r="C23" s="17" t="s">
        <v>18</v>
      </c>
      <c r="D23" s="17" t="s">
        <v>136</v>
      </c>
      <c r="E23" s="17" t="s">
        <v>137</v>
      </c>
      <c r="F23" s="17" t="s">
        <v>138</v>
      </c>
      <c r="G23" s="17" t="s">
        <v>139</v>
      </c>
      <c r="H23" s="17" t="s">
        <v>133</v>
      </c>
      <c r="I23" s="17" t="s">
        <v>24</v>
      </c>
      <c r="J23" s="17" t="s">
        <v>140</v>
      </c>
      <c r="K23" s="17">
        <v>55000</v>
      </c>
      <c r="L23" s="17">
        <v>16500</v>
      </c>
      <c r="M23" s="17">
        <v>7000</v>
      </c>
      <c r="N23" s="17" t="s">
        <v>26</v>
      </c>
      <c r="O23" s="17" t="s">
        <v>127</v>
      </c>
    </row>
    <row r="24" spans="1:15" x14ac:dyDescent="0.3">
      <c r="A24" s="16">
        <v>1019</v>
      </c>
      <c r="B24" s="16" t="s">
        <v>141</v>
      </c>
      <c r="C24" s="16" t="s">
        <v>35</v>
      </c>
      <c r="D24" s="16" t="s">
        <v>142</v>
      </c>
      <c r="E24" s="16" t="s">
        <v>143</v>
      </c>
      <c r="F24" s="16" t="s">
        <v>144</v>
      </c>
      <c r="G24" s="16" t="s">
        <v>145</v>
      </c>
      <c r="H24" s="18" t="s">
        <v>47</v>
      </c>
      <c r="I24" s="16" t="s">
        <v>24</v>
      </c>
      <c r="J24" s="16" t="s">
        <v>146</v>
      </c>
      <c r="K24" s="16">
        <v>44000</v>
      </c>
      <c r="L24" s="16">
        <v>13200</v>
      </c>
      <c r="M24" s="16">
        <v>5500</v>
      </c>
      <c r="N24" s="16" t="s">
        <v>26</v>
      </c>
      <c r="O24" s="16" t="s">
        <v>127</v>
      </c>
    </row>
    <row r="25" spans="1:15" x14ac:dyDescent="0.3">
      <c r="A25" s="17">
        <v>1020</v>
      </c>
      <c r="B25" s="17" t="s">
        <v>147</v>
      </c>
      <c r="C25" s="17" t="s">
        <v>18</v>
      </c>
      <c r="D25" s="17" t="s">
        <v>148</v>
      </c>
      <c r="E25" s="17" t="s">
        <v>149</v>
      </c>
      <c r="F25" s="17" t="s">
        <v>150</v>
      </c>
      <c r="G25" s="17" t="s">
        <v>151</v>
      </c>
      <c r="H25" s="17" t="s">
        <v>133</v>
      </c>
      <c r="I25" s="17" t="s">
        <v>24</v>
      </c>
      <c r="J25" s="17" t="s">
        <v>152</v>
      </c>
      <c r="K25" s="17">
        <v>33000</v>
      </c>
      <c r="L25" s="17">
        <v>9900</v>
      </c>
      <c r="M25" s="17">
        <v>4000</v>
      </c>
      <c r="N25" s="17" t="s">
        <v>26</v>
      </c>
      <c r="O25" s="17" t="s">
        <v>135</v>
      </c>
    </row>
    <row r="26" spans="1:15" x14ac:dyDescent="0.3">
      <c r="A26" s="16">
        <v>1021</v>
      </c>
      <c r="B26" s="16" t="s">
        <v>153</v>
      </c>
      <c r="C26" s="18" t="s">
        <v>47</v>
      </c>
      <c r="D26" s="16" t="s">
        <v>154</v>
      </c>
      <c r="E26" s="16" t="s">
        <v>155</v>
      </c>
      <c r="F26" s="16" t="s">
        <v>156</v>
      </c>
      <c r="G26" s="16" t="s">
        <v>157</v>
      </c>
      <c r="H26" s="16" t="s">
        <v>158</v>
      </c>
      <c r="I26" s="16" t="s">
        <v>24</v>
      </c>
      <c r="J26" s="16" t="s">
        <v>159</v>
      </c>
      <c r="K26" s="16">
        <v>68000</v>
      </c>
      <c r="L26" s="16">
        <v>20400</v>
      </c>
      <c r="M26" s="16">
        <v>8500</v>
      </c>
      <c r="N26" s="16" t="s">
        <v>26</v>
      </c>
      <c r="O26" s="16" t="s">
        <v>17</v>
      </c>
    </row>
    <row r="27" spans="1:15" x14ac:dyDescent="0.3">
      <c r="A27" s="17">
        <v>1022</v>
      </c>
      <c r="B27" s="17" t="s">
        <v>160</v>
      </c>
      <c r="C27" s="17" t="s">
        <v>35</v>
      </c>
      <c r="D27" s="17" t="s">
        <v>161</v>
      </c>
      <c r="E27" s="17" t="s">
        <v>162</v>
      </c>
      <c r="F27" s="17" t="s">
        <v>163</v>
      </c>
      <c r="G27" s="17" t="s">
        <v>164</v>
      </c>
      <c r="H27" s="17" t="s">
        <v>158</v>
      </c>
      <c r="I27" s="17" t="s">
        <v>24</v>
      </c>
      <c r="J27" s="17" t="s">
        <v>165</v>
      </c>
      <c r="K27" s="17">
        <v>50000</v>
      </c>
      <c r="L27" s="17">
        <v>15000</v>
      </c>
      <c r="M27" s="17">
        <v>6000</v>
      </c>
      <c r="N27" s="17" t="s">
        <v>26</v>
      </c>
      <c r="O27" s="17" t="s">
        <v>153</v>
      </c>
    </row>
    <row r="28" spans="1:15" x14ac:dyDescent="0.3">
      <c r="A28" s="16">
        <v>1023</v>
      </c>
      <c r="B28" s="16" t="s">
        <v>166</v>
      </c>
      <c r="C28" s="16" t="s">
        <v>18</v>
      </c>
      <c r="D28" s="16" t="s">
        <v>167</v>
      </c>
      <c r="E28" s="16" t="s">
        <v>168</v>
      </c>
      <c r="F28" s="16" t="s">
        <v>169</v>
      </c>
      <c r="G28" s="16" t="s">
        <v>170</v>
      </c>
      <c r="H28" s="16" t="s">
        <v>158</v>
      </c>
      <c r="I28" s="16" t="s">
        <v>24</v>
      </c>
      <c r="J28" s="16" t="s">
        <v>171</v>
      </c>
      <c r="K28" s="16">
        <v>36000</v>
      </c>
      <c r="L28" s="16">
        <v>10800</v>
      </c>
      <c r="M28" s="16">
        <v>4500</v>
      </c>
      <c r="N28" s="16" t="s">
        <v>26</v>
      </c>
      <c r="O28" s="16" t="s">
        <v>160</v>
      </c>
    </row>
    <row r="29" spans="1:15" x14ac:dyDescent="0.3">
      <c r="A29" s="17">
        <v>1023</v>
      </c>
      <c r="B29" s="17" t="s">
        <v>166</v>
      </c>
      <c r="C29" s="17" t="s">
        <v>18</v>
      </c>
      <c r="D29" s="17" t="s">
        <v>167</v>
      </c>
      <c r="E29" s="17" t="s">
        <v>168</v>
      </c>
      <c r="F29" s="17" t="s">
        <v>169</v>
      </c>
      <c r="G29" s="17" t="s">
        <v>170</v>
      </c>
      <c r="H29" s="17" t="s">
        <v>158</v>
      </c>
      <c r="I29" s="17" t="s">
        <v>24</v>
      </c>
      <c r="J29" s="17" t="s">
        <v>171</v>
      </c>
      <c r="K29" s="17">
        <v>36000</v>
      </c>
      <c r="L29" s="17">
        <v>10800</v>
      </c>
      <c r="M29" s="17">
        <v>4500</v>
      </c>
      <c r="N29" s="17" t="s">
        <v>26</v>
      </c>
      <c r="O29" s="17" t="s">
        <v>160</v>
      </c>
    </row>
    <row r="30" spans="1:15" x14ac:dyDescent="0.3">
      <c r="A30" s="16">
        <v>1024</v>
      </c>
      <c r="B30" s="16" t="s">
        <v>172</v>
      </c>
      <c r="C30" s="16" t="s">
        <v>35</v>
      </c>
      <c r="D30" s="16" t="s">
        <v>173</v>
      </c>
      <c r="E30" s="16" t="s">
        <v>174</v>
      </c>
      <c r="F30" s="16" t="s">
        <v>175</v>
      </c>
      <c r="G30" s="16" t="s">
        <v>176</v>
      </c>
      <c r="H30" s="16" t="s">
        <v>158</v>
      </c>
      <c r="I30" s="16" t="s">
        <v>24</v>
      </c>
      <c r="J30" s="16" t="s">
        <v>177</v>
      </c>
      <c r="K30" s="16">
        <v>28000</v>
      </c>
      <c r="L30" s="16">
        <v>8400</v>
      </c>
      <c r="M30" s="16">
        <v>3500</v>
      </c>
      <c r="N30" s="16" t="s">
        <v>26</v>
      </c>
      <c r="O30" s="16" t="s">
        <v>166</v>
      </c>
    </row>
    <row r="31" spans="1:15" x14ac:dyDescent="0.3">
      <c r="A31" s="17">
        <v>1025</v>
      </c>
      <c r="B31" s="17" t="s">
        <v>178</v>
      </c>
      <c r="C31" s="17" t="s">
        <v>35</v>
      </c>
      <c r="D31" s="17" t="s">
        <v>179</v>
      </c>
      <c r="E31" s="17" t="s">
        <v>180</v>
      </c>
      <c r="F31" s="17" t="s">
        <v>181</v>
      </c>
      <c r="G31" s="17" t="s">
        <v>182</v>
      </c>
      <c r="H31" s="17" t="s">
        <v>183</v>
      </c>
      <c r="I31" s="17" t="s">
        <v>24</v>
      </c>
      <c r="J31" s="17" t="s">
        <v>25</v>
      </c>
      <c r="K31" s="17">
        <v>80000</v>
      </c>
      <c r="L31" s="17">
        <v>24000</v>
      </c>
      <c r="M31" s="17">
        <v>10500</v>
      </c>
      <c r="N31" s="17" t="s">
        <v>26</v>
      </c>
      <c r="O31" s="17" t="s">
        <v>27</v>
      </c>
    </row>
    <row r="32" spans="1:15" x14ac:dyDescent="0.3">
      <c r="A32" s="16">
        <v>1026</v>
      </c>
      <c r="B32" s="16" t="s">
        <v>184</v>
      </c>
      <c r="C32" s="16" t="s">
        <v>35</v>
      </c>
      <c r="D32" s="16" t="s">
        <v>185</v>
      </c>
      <c r="E32" s="16" t="s">
        <v>186</v>
      </c>
      <c r="F32" s="16" t="s">
        <v>187</v>
      </c>
      <c r="G32" s="16" t="s">
        <v>188</v>
      </c>
      <c r="H32" s="16" t="s">
        <v>183</v>
      </c>
      <c r="I32" s="16" t="s">
        <v>24</v>
      </c>
      <c r="J32" s="16" t="s">
        <v>189</v>
      </c>
      <c r="K32" s="19" t="s">
        <v>190</v>
      </c>
      <c r="L32" s="16">
        <v>17400</v>
      </c>
      <c r="M32" s="16">
        <v>7500</v>
      </c>
      <c r="N32" s="16" t="s">
        <v>26</v>
      </c>
      <c r="O32" s="16" t="s">
        <v>178</v>
      </c>
    </row>
    <row r="33" spans="1:15" x14ac:dyDescent="0.3">
      <c r="A33" s="17">
        <v>1027</v>
      </c>
      <c r="B33" s="17" t="s">
        <v>191</v>
      </c>
      <c r="C33" s="17" t="s">
        <v>18</v>
      </c>
      <c r="D33" s="17" t="s">
        <v>192</v>
      </c>
      <c r="E33" s="17" t="s">
        <v>193</v>
      </c>
      <c r="F33" s="17" t="s">
        <v>194</v>
      </c>
      <c r="G33" s="17" t="s">
        <v>195</v>
      </c>
      <c r="H33" s="17" t="s">
        <v>183</v>
      </c>
      <c r="I33" s="17" t="s">
        <v>24</v>
      </c>
      <c r="J33" s="17" t="s">
        <v>196</v>
      </c>
      <c r="K33" s="17">
        <v>38000</v>
      </c>
      <c r="L33" s="17">
        <v>11400</v>
      </c>
      <c r="M33" s="17">
        <v>5000</v>
      </c>
      <c r="N33" s="17" t="s">
        <v>26</v>
      </c>
      <c r="O33" s="17" t="s">
        <v>184</v>
      </c>
    </row>
    <row r="34" spans="1:15" x14ac:dyDescent="0.3">
      <c r="A34" s="16">
        <v>1028</v>
      </c>
      <c r="B34" s="16" t="s">
        <v>197</v>
      </c>
      <c r="C34" s="16" t="s">
        <v>35</v>
      </c>
      <c r="D34" s="16" t="s">
        <v>198</v>
      </c>
      <c r="E34" s="16" t="s">
        <v>199</v>
      </c>
      <c r="F34" s="16" t="s">
        <v>200</v>
      </c>
      <c r="G34" s="16" t="s">
        <v>118</v>
      </c>
      <c r="H34" s="16" t="s">
        <v>94</v>
      </c>
      <c r="I34" s="16" t="s">
        <v>24</v>
      </c>
      <c r="J34" s="16" t="s">
        <v>201</v>
      </c>
      <c r="K34" s="16">
        <v>32000</v>
      </c>
      <c r="L34" s="16">
        <v>9600</v>
      </c>
      <c r="M34" s="16">
        <v>4000</v>
      </c>
      <c r="N34" s="16" t="s">
        <v>202</v>
      </c>
      <c r="O34" s="16" t="s">
        <v>96</v>
      </c>
    </row>
    <row r="35" spans="1:15" x14ac:dyDescent="0.3">
      <c r="A35" s="17">
        <v>1029</v>
      </c>
      <c r="B35" s="17" t="s">
        <v>203</v>
      </c>
      <c r="C35" s="17" t="s">
        <v>18</v>
      </c>
      <c r="D35" s="17" t="s">
        <v>204</v>
      </c>
      <c r="E35" s="17" t="s">
        <v>205</v>
      </c>
      <c r="F35" s="17" t="s">
        <v>206</v>
      </c>
      <c r="G35" s="17" t="s">
        <v>73</v>
      </c>
      <c r="H35" s="17" t="s">
        <v>60</v>
      </c>
      <c r="I35" s="17" t="s">
        <v>24</v>
      </c>
      <c r="J35" s="17" t="s">
        <v>207</v>
      </c>
      <c r="K35" s="17">
        <v>38000</v>
      </c>
      <c r="L35" s="17">
        <v>11400</v>
      </c>
      <c r="M35" s="17">
        <v>4500</v>
      </c>
      <c r="N35" s="17" t="s">
        <v>208</v>
      </c>
      <c r="O35" s="17" t="s">
        <v>55</v>
      </c>
    </row>
    <row r="36" spans="1:15" x14ac:dyDescent="0.3">
      <c r="A36" s="16">
        <v>1030</v>
      </c>
      <c r="B36" s="16" t="s">
        <v>209</v>
      </c>
      <c r="C36" s="16" t="s">
        <v>35</v>
      </c>
      <c r="D36" s="16" t="s">
        <v>210</v>
      </c>
      <c r="E36" s="16" t="s">
        <v>211</v>
      </c>
      <c r="F36" s="16" t="s">
        <v>212</v>
      </c>
      <c r="G36" s="16" t="s">
        <v>139</v>
      </c>
      <c r="H36" s="16" t="s">
        <v>133</v>
      </c>
      <c r="I36" s="16" t="s">
        <v>213</v>
      </c>
      <c r="J36" s="16" t="s">
        <v>214</v>
      </c>
      <c r="K36" s="16">
        <v>48000</v>
      </c>
      <c r="L36" s="16">
        <v>0</v>
      </c>
      <c r="M36" s="16">
        <v>5000</v>
      </c>
      <c r="N36" s="16" t="s">
        <v>215</v>
      </c>
      <c r="O36" s="16" t="s">
        <v>127</v>
      </c>
    </row>
    <row r="37" spans="1:15" x14ac:dyDescent="0.3">
      <c r="A37" s="17">
        <v>1031</v>
      </c>
      <c r="B37" s="17" t="s">
        <v>216</v>
      </c>
      <c r="C37" s="17" t="s">
        <v>18</v>
      </c>
      <c r="D37" s="17" t="s">
        <v>217</v>
      </c>
      <c r="E37" s="17" t="s">
        <v>218</v>
      </c>
      <c r="F37" s="17" t="s">
        <v>219</v>
      </c>
      <c r="G37" s="17" t="s">
        <v>170</v>
      </c>
      <c r="H37" s="17" t="s">
        <v>158</v>
      </c>
      <c r="I37" s="17" t="s">
        <v>24</v>
      </c>
      <c r="J37" s="17" t="s">
        <v>146</v>
      </c>
      <c r="K37" s="17">
        <v>34000</v>
      </c>
      <c r="L37" s="17">
        <v>10200</v>
      </c>
      <c r="M37" s="17">
        <v>4000</v>
      </c>
      <c r="N37" s="17" t="s">
        <v>208</v>
      </c>
      <c r="O37" s="17" t="s">
        <v>160</v>
      </c>
    </row>
    <row r="38" spans="1:15" x14ac:dyDescent="0.3">
      <c r="A38" s="16">
        <v>1032</v>
      </c>
      <c r="B38" s="16" t="s">
        <v>220</v>
      </c>
      <c r="C38" s="16" t="s">
        <v>35</v>
      </c>
      <c r="D38" s="16" t="s">
        <v>221</v>
      </c>
      <c r="E38" s="16" t="s">
        <v>222</v>
      </c>
      <c r="F38" s="16" t="s">
        <v>223</v>
      </c>
      <c r="G38" s="16" t="s">
        <v>195</v>
      </c>
      <c r="H38" s="16" t="s">
        <v>183</v>
      </c>
      <c r="I38" s="16" t="s">
        <v>24</v>
      </c>
      <c r="J38" s="16" t="s">
        <v>224</v>
      </c>
      <c r="K38" s="16">
        <v>36000</v>
      </c>
      <c r="L38" s="16">
        <v>10800</v>
      </c>
      <c r="M38" s="16">
        <v>4500</v>
      </c>
      <c r="N38" s="16" t="s">
        <v>225</v>
      </c>
      <c r="O38" s="16" t="s">
        <v>184</v>
      </c>
    </row>
  </sheetData>
  <autoFilter ref="A3:O38" xr:uid="{00000000-0009-0000-0000-000000000000}"/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A7517"/>
  </sheetPr>
  <dimension ref="A1:G16"/>
  <sheetViews>
    <sheetView zoomScaleNormal="100" workbookViewId="0">
      <pane ySplit="2" topLeftCell="A3" activePane="bottomLeft" state="frozen"/>
      <selection pane="bottomLeft" activeCell="M3" sqref="M3"/>
    </sheetView>
  </sheetViews>
  <sheetFormatPr defaultColWidth="8.6640625" defaultRowHeight="14.4" x14ac:dyDescent="0.3"/>
  <cols>
    <col min="1" max="1" width="4.44140625" bestFit="1" customWidth="1"/>
    <col min="2" max="2" width="25.21875" bestFit="1" customWidth="1"/>
    <col min="3" max="3" width="16" bestFit="1" customWidth="1"/>
    <col min="4" max="4" width="23.88671875" bestFit="1" customWidth="1"/>
    <col min="5" max="5" width="29.6640625" bestFit="1" customWidth="1"/>
    <col min="6" max="6" width="12.21875" bestFit="1" customWidth="1"/>
    <col min="7" max="7" width="17.44140625" bestFit="1" customWidth="1"/>
  </cols>
  <sheetData>
    <row r="1" spans="1:7" ht="27.75" customHeight="1" x14ac:dyDescent="0.3">
      <c r="A1" s="12" t="s">
        <v>226</v>
      </c>
      <c r="B1" s="12"/>
      <c r="C1" s="12"/>
      <c r="D1" s="12"/>
      <c r="E1" s="12"/>
      <c r="F1" s="12"/>
      <c r="G1" s="12"/>
    </row>
    <row r="2" spans="1:7" ht="19.5" customHeight="1" x14ac:dyDescent="0.3">
      <c r="A2" s="20" t="s">
        <v>227</v>
      </c>
      <c r="B2" s="20" t="s">
        <v>228</v>
      </c>
      <c r="C2" s="20" t="s">
        <v>229</v>
      </c>
      <c r="D2" s="20" t="s">
        <v>230</v>
      </c>
      <c r="E2" s="20" t="s">
        <v>231</v>
      </c>
      <c r="F2" s="20" t="s">
        <v>232</v>
      </c>
      <c r="G2" s="20" t="s">
        <v>233</v>
      </c>
    </row>
    <row r="3" spans="1:7" ht="30" customHeight="1" x14ac:dyDescent="0.3">
      <c r="A3" s="21">
        <v>1</v>
      </c>
      <c r="B3" s="21" t="s">
        <v>234</v>
      </c>
      <c r="C3" s="21" t="s">
        <v>235</v>
      </c>
      <c r="D3" s="21" t="s">
        <v>236</v>
      </c>
      <c r="E3" s="21" t="s">
        <v>237</v>
      </c>
      <c r="F3" s="21" t="s">
        <v>238</v>
      </c>
      <c r="G3" s="21" t="s">
        <v>239</v>
      </c>
    </row>
    <row r="4" spans="1:7" ht="30" customHeight="1" x14ac:dyDescent="0.3">
      <c r="A4" s="22">
        <v>2</v>
      </c>
      <c r="B4" s="22" t="s">
        <v>240</v>
      </c>
      <c r="C4" s="22" t="s">
        <v>4</v>
      </c>
      <c r="D4" s="22" t="s">
        <v>241</v>
      </c>
      <c r="E4" s="22" t="s">
        <v>242</v>
      </c>
      <c r="F4" s="22" t="s">
        <v>243</v>
      </c>
      <c r="G4" s="22" t="s">
        <v>244</v>
      </c>
    </row>
    <row r="5" spans="1:7" ht="30" customHeight="1" x14ac:dyDescent="0.3">
      <c r="A5" s="21">
        <v>3</v>
      </c>
      <c r="B5" s="21" t="s">
        <v>245</v>
      </c>
      <c r="C5" s="21" t="s">
        <v>9</v>
      </c>
      <c r="D5" s="21" t="s">
        <v>246</v>
      </c>
      <c r="E5" s="21" t="s">
        <v>247</v>
      </c>
      <c r="F5" s="21" t="s">
        <v>243</v>
      </c>
      <c r="G5" s="21" t="s">
        <v>248</v>
      </c>
    </row>
    <row r="6" spans="1:7" ht="30" customHeight="1" x14ac:dyDescent="0.3">
      <c r="A6" s="22">
        <v>4</v>
      </c>
      <c r="B6" s="22" t="s">
        <v>249</v>
      </c>
      <c r="C6" s="22" t="s">
        <v>16</v>
      </c>
      <c r="D6" s="22" t="s">
        <v>250</v>
      </c>
      <c r="E6" s="22" t="s">
        <v>251</v>
      </c>
      <c r="F6" s="22" t="s">
        <v>252</v>
      </c>
      <c r="G6" s="22" t="s">
        <v>17</v>
      </c>
    </row>
    <row r="7" spans="1:7" ht="30" customHeight="1" x14ac:dyDescent="0.3">
      <c r="A7" s="21">
        <v>5</v>
      </c>
      <c r="B7" s="21" t="s">
        <v>253</v>
      </c>
      <c r="C7" s="21" t="s">
        <v>254</v>
      </c>
      <c r="D7" s="21" t="s">
        <v>255</v>
      </c>
      <c r="E7" s="21" t="s">
        <v>256</v>
      </c>
      <c r="F7" s="21" t="s">
        <v>257</v>
      </c>
      <c r="G7" s="21" t="s">
        <v>258</v>
      </c>
    </row>
    <row r="8" spans="1:7" ht="30" customHeight="1" x14ac:dyDescent="0.3">
      <c r="A8" s="22">
        <v>6</v>
      </c>
      <c r="B8" s="22" t="s">
        <v>259</v>
      </c>
      <c r="C8" s="22" t="s">
        <v>4</v>
      </c>
      <c r="D8" s="22" t="s">
        <v>260</v>
      </c>
      <c r="E8" s="22" t="s">
        <v>261</v>
      </c>
      <c r="F8" s="22" t="s">
        <v>262</v>
      </c>
      <c r="G8" s="22" t="s">
        <v>263</v>
      </c>
    </row>
    <row r="9" spans="1:7" ht="30" customHeight="1" x14ac:dyDescent="0.3">
      <c r="A9" s="21">
        <v>7</v>
      </c>
      <c r="B9" s="21" t="s">
        <v>264</v>
      </c>
      <c r="C9" s="21" t="s">
        <v>3</v>
      </c>
      <c r="D9" s="21" t="s">
        <v>265</v>
      </c>
      <c r="E9" s="21" t="s">
        <v>266</v>
      </c>
      <c r="F9" s="21" t="s">
        <v>267</v>
      </c>
      <c r="G9" s="21" t="s">
        <v>268</v>
      </c>
    </row>
    <row r="10" spans="1:7" ht="30" customHeight="1" x14ac:dyDescent="0.3">
      <c r="A10" s="22">
        <v>8</v>
      </c>
      <c r="B10" s="22" t="s">
        <v>269</v>
      </c>
      <c r="C10" s="22" t="s">
        <v>15</v>
      </c>
      <c r="D10" s="22" t="s">
        <v>270</v>
      </c>
      <c r="E10" s="22" t="s">
        <v>271</v>
      </c>
      <c r="F10" s="22" t="s">
        <v>272</v>
      </c>
      <c r="G10" s="22" t="s">
        <v>273</v>
      </c>
    </row>
    <row r="11" spans="1:7" ht="30" customHeight="1" x14ac:dyDescent="0.3">
      <c r="A11" s="21">
        <v>9</v>
      </c>
      <c r="B11" s="21" t="s">
        <v>274</v>
      </c>
      <c r="C11" s="21" t="s">
        <v>275</v>
      </c>
      <c r="D11" s="21" t="s">
        <v>276</v>
      </c>
      <c r="E11" s="21" t="s">
        <v>277</v>
      </c>
      <c r="F11" s="21" t="s">
        <v>278</v>
      </c>
      <c r="G11" s="21" t="s">
        <v>279</v>
      </c>
    </row>
    <row r="12" spans="1:7" ht="30" customHeight="1" x14ac:dyDescent="0.3">
      <c r="A12" s="22">
        <v>10</v>
      </c>
      <c r="B12" s="22" t="s">
        <v>280</v>
      </c>
      <c r="C12" s="22" t="s">
        <v>13</v>
      </c>
      <c r="D12" s="22" t="s">
        <v>281</v>
      </c>
      <c r="E12" s="22" t="s">
        <v>282</v>
      </c>
      <c r="F12" s="22" t="s">
        <v>283</v>
      </c>
      <c r="G12" s="22" t="s">
        <v>284</v>
      </c>
    </row>
    <row r="13" spans="1:7" ht="30" customHeight="1" x14ac:dyDescent="0.3">
      <c r="A13" s="21">
        <v>11</v>
      </c>
      <c r="B13" s="21" t="s">
        <v>285</v>
      </c>
      <c r="C13" s="21" t="s">
        <v>254</v>
      </c>
      <c r="D13" s="21" t="s">
        <v>276</v>
      </c>
      <c r="E13" s="21" t="s">
        <v>286</v>
      </c>
      <c r="F13" s="21" t="s">
        <v>287</v>
      </c>
      <c r="G13" s="21" t="s">
        <v>288</v>
      </c>
    </row>
    <row r="14" spans="1:7" ht="30" customHeight="1" x14ac:dyDescent="0.3">
      <c r="A14" s="22">
        <v>12</v>
      </c>
      <c r="B14" s="22" t="s">
        <v>289</v>
      </c>
      <c r="C14" s="22" t="s">
        <v>7</v>
      </c>
      <c r="D14" s="22" t="s">
        <v>276</v>
      </c>
      <c r="E14" s="22" t="s">
        <v>290</v>
      </c>
      <c r="F14" s="22" t="s">
        <v>287</v>
      </c>
      <c r="G14" s="22" t="s">
        <v>288</v>
      </c>
    </row>
    <row r="15" spans="1:7" ht="30" customHeight="1" x14ac:dyDescent="0.3">
      <c r="A15" s="21">
        <v>13</v>
      </c>
      <c r="B15" s="21" t="s">
        <v>291</v>
      </c>
      <c r="C15" s="21" t="s">
        <v>2</v>
      </c>
      <c r="D15" s="21" t="s">
        <v>276</v>
      </c>
      <c r="E15" s="21" t="s">
        <v>292</v>
      </c>
      <c r="F15" s="21" t="s">
        <v>287</v>
      </c>
      <c r="G15" s="21" t="s">
        <v>293</v>
      </c>
    </row>
    <row r="16" spans="1:7" ht="30" customHeight="1" x14ac:dyDescent="0.3">
      <c r="A16" s="22">
        <v>14</v>
      </c>
      <c r="B16" s="22" t="s">
        <v>294</v>
      </c>
      <c r="C16" s="22" t="s">
        <v>10</v>
      </c>
      <c r="D16" s="22" t="s">
        <v>276</v>
      </c>
      <c r="E16" s="22" t="s">
        <v>295</v>
      </c>
      <c r="F16" s="22" t="s">
        <v>287</v>
      </c>
      <c r="G16" s="22" t="s">
        <v>296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9E75"/>
  </sheetPr>
  <dimension ref="A1:O34"/>
  <sheetViews>
    <sheetView topLeftCell="F1" zoomScaleNormal="100" workbookViewId="0">
      <pane ySplit="2" topLeftCell="A15" activePane="bottomLeft" state="frozen"/>
      <selection pane="bottomLeft" activeCell="N36" sqref="N36"/>
    </sheetView>
  </sheetViews>
  <sheetFormatPr defaultColWidth="8.6640625" defaultRowHeight="14.4" x14ac:dyDescent="0.3"/>
  <cols>
    <col min="1" max="1" width="10.77734375" bestFit="1" customWidth="1"/>
    <col min="2" max="2" width="14" bestFit="1" customWidth="1"/>
    <col min="3" max="3" width="11.21875" bestFit="1" customWidth="1"/>
    <col min="4" max="4" width="15.21875" bestFit="1" customWidth="1"/>
    <col min="5" max="5" width="14.44140625" bestFit="1" customWidth="1"/>
    <col min="6" max="6" width="28.6640625" bestFit="1" customWidth="1"/>
    <col min="7" max="7" width="19.109375" bestFit="1" customWidth="1"/>
    <col min="8" max="8" width="23.77734375" bestFit="1" customWidth="1"/>
    <col min="9" max="9" width="19.21875" bestFit="1" customWidth="1"/>
    <col min="10" max="10" width="17.109375" bestFit="1" customWidth="1"/>
    <col min="11" max="11" width="19" bestFit="1" customWidth="1"/>
    <col min="12" max="12" width="12.77734375" bestFit="1" customWidth="1"/>
    <col min="13" max="13" width="18.21875" bestFit="1" customWidth="1"/>
    <col min="14" max="14" width="20.33203125" bestFit="1" customWidth="1"/>
    <col min="15" max="15" width="20.5546875" bestFit="1" customWidth="1"/>
  </cols>
  <sheetData>
    <row r="1" spans="1:15" ht="27.75" customHeight="1" x14ac:dyDescent="0.3">
      <c r="A1" s="11" t="s">
        <v>297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1.75" customHeight="1" x14ac:dyDescent="0.3">
      <c r="A2" s="15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N2" s="15" t="s">
        <v>15</v>
      </c>
      <c r="O2" s="15" t="s">
        <v>16</v>
      </c>
    </row>
    <row r="3" spans="1:15" x14ac:dyDescent="0.3">
      <c r="A3" s="17">
        <v>1001</v>
      </c>
      <c r="B3" s="17" t="s">
        <v>17</v>
      </c>
      <c r="C3" s="17" t="s">
        <v>18</v>
      </c>
      <c r="D3" s="17" t="s">
        <v>19</v>
      </c>
      <c r="E3" s="17" t="s">
        <v>20</v>
      </c>
      <c r="F3" s="17" t="s">
        <v>21</v>
      </c>
      <c r="G3" s="17" t="s">
        <v>22</v>
      </c>
      <c r="H3" s="17" t="s">
        <v>23</v>
      </c>
      <c r="I3" s="17" t="s">
        <v>24</v>
      </c>
      <c r="J3" s="17" t="s">
        <v>25</v>
      </c>
      <c r="K3" s="23">
        <v>95000</v>
      </c>
      <c r="L3" s="23">
        <v>28500</v>
      </c>
      <c r="M3" s="23">
        <v>12000</v>
      </c>
      <c r="N3" s="24" t="s">
        <v>26</v>
      </c>
      <c r="O3" s="17" t="s">
        <v>27</v>
      </c>
    </row>
    <row r="4" spans="1:15" x14ac:dyDescent="0.3">
      <c r="A4" s="16">
        <v>1002</v>
      </c>
      <c r="B4" s="16" t="s">
        <v>41</v>
      </c>
      <c r="C4" s="16" t="s">
        <v>18</v>
      </c>
      <c r="D4" s="16" t="s">
        <v>29</v>
      </c>
      <c r="E4" s="16" t="s">
        <v>30</v>
      </c>
      <c r="F4" s="16" t="s">
        <v>31</v>
      </c>
      <c r="G4" s="16" t="s">
        <v>32</v>
      </c>
      <c r="H4" s="16" t="s">
        <v>23</v>
      </c>
      <c r="I4" s="16" t="s">
        <v>24</v>
      </c>
      <c r="J4" s="16" t="s">
        <v>33</v>
      </c>
      <c r="K4" s="25">
        <v>70000</v>
      </c>
      <c r="L4" s="25">
        <v>21000</v>
      </c>
      <c r="M4" s="25">
        <v>9000</v>
      </c>
      <c r="N4" s="26" t="s">
        <v>26</v>
      </c>
      <c r="O4" s="16" t="s">
        <v>17</v>
      </c>
    </row>
    <row r="5" spans="1:15" x14ac:dyDescent="0.3">
      <c r="A5" s="17">
        <v>1003</v>
      </c>
      <c r="B5" s="17" t="s">
        <v>34</v>
      </c>
      <c r="C5" s="17" t="s">
        <v>35</v>
      </c>
      <c r="D5" s="17" t="s">
        <v>36</v>
      </c>
      <c r="E5" s="17" t="s">
        <v>37</v>
      </c>
      <c r="F5" s="17" t="s">
        <v>38</v>
      </c>
      <c r="G5" s="17" t="s">
        <v>39</v>
      </c>
      <c r="H5" s="17" t="s">
        <v>23</v>
      </c>
      <c r="I5" s="17" t="s">
        <v>24</v>
      </c>
      <c r="J5" s="17" t="s">
        <v>40</v>
      </c>
      <c r="K5" s="23">
        <v>42000</v>
      </c>
      <c r="L5" s="23">
        <v>12600</v>
      </c>
      <c r="M5" s="23">
        <v>5000</v>
      </c>
      <c r="N5" s="24" t="s">
        <v>26</v>
      </c>
      <c r="O5" s="17" t="s">
        <v>41</v>
      </c>
    </row>
    <row r="6" spans="1:15" x14ac:dyDescent="0.3">
      <c r="A6" s="16">
        <v>1004</v>
      </c>
      <c r="B6" s="16" t="s">
        <v>42</v>
      </c>
      <c r="C6" s="16" t="s">
        <v>18</v>
      </c>
      <c r="D6" s="16" t="s">
        <v>43</v>
      </c>
      <c r="E6" s="16" t="s">
        <v>44</v>
      </c>
      <c r="F6" s="16" t="s">
        <v>45</v>
      </c>
      <c r="G6" s="16" t="s">
        <v>46</v>
      </c>
      <c r="H6" s="16" t="s">
        <v>23</v>
      </c>
      <c r="I6" s="16" t="s">
        <v>24</v>
      </c>
      <c r="J6" s="16" t="s">
        <v>48</v>
      </c>
      <c r="K6" s="25">
        <v>35000</v>
      </c>
      <c r="L6" s="25">
        <v>10500</v>
      </c>
      <c r="M6" s="25">
        <v>4000</v>
      </c>
      <c r="N6" s="26" t="s">
        <v>26</v>
      </c>
      <c r="O6" s="16" t="s">
        <v>41</v>
      </c>
    </row>
    <row r="7" spans="1:15" x14ac:dyDescent="0.3">
      <c r="A7" s="17">
        <v>1005</v>
      </c>
      <c r="B7" s="17" t="s">
        <v>49</v>
      </c>
      <c r="C7" s="17" t="s">
        <v>35</v>
      </c>
      <c r="D7" s="17" t="s">
        <v>50</v>
      </c>
      <c r="E7" s="17" t="s">
        <v>51</v>
      </c>
      <c r="F7" s="17" t="s">
        <v>52</v>
      </c>
      <c r="G7" s="17" t="s">
        <v>53</v>
      </c>
      <c r="H7" s="17" t="s">
        <v>23</v>
      </c>
      <c r="I7" s="17" t="s">
        <v>24</v>
      </c>
      <c r="J7" s="17" t="s">
        <v>54</v>
      </c>
      <c r="K7" s="23">
        <v>28000</v>
      </c>
      <c r="L7" s="23">
        <v>8400</v>
      </c>
      <c r="M7" s="23">
        <v>3500</v>
      </c>
      <c r="N7" s="24" t="s">
        <v>26</v>
      </c>
      <c r="O7" s="17" t="s">
        <v>34</v>
      </c>
    </row>
    <row r="8" spans="1:15" x14ac:dyDescent="0.3">
      <c r="A8" s="16">
        <v>1006</v>
      </c>
      <c r="B8" s="16" t="s">
        <v>55</v>
      </c>
      <c r="C8" s="16" t="s">
        <v>35</v>
      </c>
      <c r="D8" s="16" t="s">
        <v>56</v>
      </c>
      <c r="E8" s="16" t="s">
        <v>57</v>
      </c>
      <c r="F8" s="16" t="s">
        <v>58</v>
      </c>
      <c r="G8" s="16" t="s">
        <v>59</v>
      </c>
      <c r="H8" s="16" t="s">
        <v>60</v>
      </c>
      <c r="I8" s="16" t="s">
        <v>24</v>
      </c>
      <c r="J8" s="16" t="s">
        <v>61</v>
      </c>
      <c r="K8" s="25">
        <v>72000</v>
      </c>
      <c r="L8" s="25">
        <v>21600</v>
      </c>
      <c r="M8" s="25">
        <v>9500</v>
      </c>
      <c r="N8" s="26" t="s">
        <v>26</v>
      </c>
      <c r="O8" s="16" t="s">
        <v>17</v>
      </c>
    </row>
    <row r="9" spans="1:15" x14ac:dyDescent="0.3">
      <c r="A9" s="17">
        <v>1007</v>
      </c>
      <c r="B9" s="17" t="s">
        <v>81</v>
      </c>
      <c r="C9" s="17" t="s">
        <v>18</v>
      </c>
      <c r="D9" s="17" t="s">
        <v>64</v>
      </c>
      <c r="E9" s="17" t="s">
        <v>65</v>
      </c>
      <c r="F9" s="17" t="s">
        <v>66</v>
      </c>
      <c r="G9" s="17" t="s">
        <v>67</v>
      </c>
      <c r="H9" s="17" t="s">
        <v>60</v>
      </c>
      <c r="I9" s="17" t="s">
        <v>24</v>
      </c>
      <c r="J9" s="17" t="s">
        <v>68</v>
      </c>
      <c r="K9" s="23">
        <v>52000</v>
      </c>
      <c r="L9" s="23">
        <v>15600</v>
      </c>
      <c r="M9" s="23">
        <v>6500</v>
      </c>
      <c r="N9" s="24" t="s">
        <v>26</v>
      </c>
      <c r="O9" s="17" t="s">
        <v>55</v>
      </c>
    </row>
    <row r="10" spans="1:15" x14ac:dyDescent="0.3">
      <c r="A10" s="16">
        <v>1008</v>
      </c>
      <c r="B10" s="16" t="s">
        <v>69</v>
      </c>
      <c r="C10" s="16" t="s">
        <v>35</v>
      </c>
      <c r="D10" s="16" t="s">
        <v>70</v>
      </c>
      <c r="E10" s="16" t="s">
        <v>71</v>
      </c>
      <c r="F10" s="16" t="s">
        <v>72</v>
      </c>
      <c r="G10" s="16" t="s">
        <v>73</v>
      </c>
      <c r="H10" s="16" t="s">
        <v>60</v>
      </c>
      <c r="I10" s="16" t="s">
        <v>24</v>
      </c>
      <c r="J10" s="16" t="s">
        <v>74</v>
      </c>
      <c r="K10" s="25">
        <v>40000</v>
      </c>
      <c r="L10" s="25">
        <v>12000</v>
      </c>
      <c r="M10" s="25">
        <v>5000</v>
      </c>
      <c r="N10" s="26" t="s">
        <v>26</v>
      </c>
      <c r="O10" s="16" t="s">
        <v>55</v>
      </c>
    </row>
    <row r="11" spans="1:15" x14ac:dyDescent="0.3">
      <c r="A11" s="17">
        <v>1009</v>
      </c>
      <c r="B11" s="17" t="s">
        <v>75</v>
      </c>
      <c r="C11" s="17" t="s">
        <v>18</v>
      </c>
      <c r="D11" s="17" t="s">
        <v>76</v>
      </c>
      <c r="E11" s="17" t="s">
        <v>77</v>
      </c>
      <c r="F11" s="17" t="s">
        <v>78</v>
      </c>
      <c r="G11" s="17" t="s">
        <v>79</v>
      </c>
      <c r="H11" s="17" t="s">
        <v>60</v>
      </c>
      <c r="I11" s="17" t="s">
        <v>24</v>
      </c>
      <c r="J11" s="17" t="s">
        <v>80</v>
      </c>
      <c r="K11" s="23">
        <v>32000</v>
      </c>
      <c r="L11" s="23">
        <v>9600</v>
      </c>
      <c r="M11" s="23">
        <v>4000</v>
      </c>
      <c r="N11" s="24" t="s">
        <v>26</v>
      </c>
      <c r="O11" s="17" t="s">
        <v>81</v>
      </c>
    </row>
    <row r="12" spans="1:15" x14ac:dyDescent="0.3">
      <c r="A12" s="16">
        <v>1010</v>
      </c>
      <c r="B12" s="16" t="s">
        <v>82</v>
      </c>
      <c r="C12" s="16" t="s">
        <v>35</v>
      </c>
      <c r="D12" s="16" t="s">
        <v>84</v>
      </c>
      <c r="E12" s="16" t="s">
        <v>85</v>
      </c>
      <c r="F12" s="16" t="s">
        <v>86</v>
      </c>
      <c r="G12" s="16" t="s">
        <v>87</v>
      </c>
      <c r="H12" s="16" t="s">
        <v>60</v>
      </c>
      <c r="I12" s="16" t="s">
        <v>24</v>
      </c>
      <c r="J12" s="16" t="s">
        <v>88</v>
      </c>
      <c r="K12" s="25">
        <v>27000</v>
      </c>
      <c r="L12" s="25">
        <v>8100</v>
      </c>
      <c r="M12" s="25">
        <v>3000</v>
      </c>
      <c r="N12" s="26" t="s">
        <v>26</v>
      </c>
      <c r="O12" s="16" t="s">
        <v>69</v>
      </c>
    </row>
    <row r="13" spans="1:15" x14ac:dyDescent="0.3">
      <c r="A13" s="17">
        <v>1011</v>
      </c>
      <c r="B13" s="17" t="s">
        <v>89</v>
      </c>
      <c r="C13" s="17" t="s">
        <v>18</v>
      </c>
      <c r="D13" s="17" t="s">
        <v>90</v>
      </c>
      <c r="E13" s="17" t="s">
        <v>91</v>
      </c>
      <c r="F13" s="17" t="s">
        <v>92</v>
      </c>
      <c r="G13" s="17" t="s">
        <v>93</v>
      </c>
      <c r="H13" s="17" t="s">
        <v>94</v>
      </c>
      <c r="I13" s="17" t="s">
        <v>24</v>
      </c>
      <c r="J13" s="17" t="s">
        <v>95</v>
      </c>
      <c r="K13" s="23">
        <v>78000</v>
      </c>
      <c r="L13" s="23">
        <v>23400</v>
      </c>
      <c r="M13" s="23">
        <v>10000</v>
      </c>
      <c r="N13" s="24" t="s">
        <v>26</v>
      </c>
      <c r="O13" s="17" t="s">
        <v>17</v>
      </c>
    </row>
    <row r="14" spans="1:15" x14ac:dyDescent="0.3">
      <c r="A14" s="16">
        <v>1012</v>
      </c>
      <c r="B14" s="16" t="s">
        <v>96</v>
      </c>
      <c r="C14" s="16" t="s">
        <v>35</v>
      </c>
      <c r="D14" s="16" t="s">
        <v>97</v>
      </c>
      <c r="E14" s="16" t="s">
        <v>98</v>
      </c>
      <c r="F14" s="16" t="s">
        <v>99</v>
      </c>
      <c r="G14" s="16" t="s">
        <v>100</v>
      </c>
      <c r="H14" s="16" t="s">
        <v>94</v>
      </c>
      <c r="I14" s="16" t="s">
        <v>24</v>
      </c>
      <c r="J14" s="16" t="s">
        <v>101</v>
      </c>
      <c r="K14" s="25">
        <v>58000</v>
      </c>
      <c r="L14" s="25">
        <v>17400</v>
      </c>
      <c r="M14" s="25">
        <v>7500</v>
      </c>
      <c r="N14" s="26" t="s">
        <v>26</v>
      </c>
      <c r="O14" s="16" t="s">
        <v>89</v>
      </c>
    </row>
    <row r="15" spans="1:15" x14ac:dyDescent="0.3">
      <c r="A15" s="17">
        <v>1013</v>
      </c>
      <c r="B15" s="17" t="s">
        <v>102</v>
      </c>
      <c r="C15" s="17" t="s">
        <v>18</v>
      </c>
      <c r="D15" s="17" t="s">
        <v>103</v>
      </c>
      <c r="E15" s="17" t="s">
        <v>104</v>
      </c>
      <c r="F15" s="17" t="s">
        <v>105</v>
      </c>
      <c r="G15" s="17" t="s">
        <v>106</v>
      </c>
      <c r="H15" s="17" t="s">
        <v>94</v>
      </c>
      <c r="I15" s="17" t="s">
        <v>24</v>
      </c>
      <c r="J15" s="17" t="s">
        <v>107</v>
      </c>
      <c r="K15" s="23">
        <v>45000</v>
      </c>
      <c r="L15" s="23">
        <v>13500</v>
      </c>
      <c r="M15" s="23">
        <v>5500</v>
      </c>
      <c r="N15" s="24" t="s">
        <v>26</v>
      </c>
      <c r="O15" s="17" t="s">
        <v>89</v>
      </c>
    </row>
    <row r="16" spans="1:15" x14ac:dyDescent="0.3">
      <c r="A16" s="16">
        <v>1014</v>
      </c>
      <c r="B16" s="16" t="s">
        <v>108</v>
      </c>
      <c r="C16" s="16" t="s">
        <v>35</v>
      </c>
      <c r="D16" s="16" t="s">
        <v>109</v>
      </c>
      <c r="E16" s="16" t="s">
        <v>110</v>
      </c>
      <c r="F16" s="16" t="s">
        <v>111</v>
      </c>
      <c r="G16" s="16" t="s">
        <v>112</v>
      </c>
      <c r="H16" s="16" t="s">
        <v>94</v>
      </c>
      <c r="I16" s="16" t="s">
        <v>24</v>
      </c>
      <c r="J16" s="16" t="s">
        <v>113</v>
      </c>
      <c r="K16" s="25">
        <v>42000</v>
      </c>
      <c r="L16" s="25">
        <v>12600</v>
      </c>
      <c r="M16" s="25">
        <v>5000</v>
      </c>
      <c r="N16" s="26" t="s">
        <v>26</v>
      </c>
      <c r="O16" s="16" t="s">
        <v>96</v>
      </c>
    </row>
    <row r="17" spans="1:15" x14ac:dyDescent="0.3">
      <c r="A17" s="17">
        <v>1015</v>
      </c>
      <c r="B17" s="17" t="s">
        <v>114</v>
      </c>
      <c r="C17" s="17" t="s">
        <v>18</v>
      </c>
      <c r="D17" s="17" t="s">
        <v>115</v>
      </c>
      <c r="E17" s="17" t="s">
        <v>116</v>
      </c>
      <c r="F17" s="17" t="s">
        <v>117</v>
      </c>
      <c r="G17" s="17" t="s">
        <v>118</v>
      </c>
      <c r="H17" s="17" t="s">
        <v>94</v>
      </c>
      <c r="I17" s="17" t="s">
        <v>24</v>
      </c>
      <c r="J17" s="17" t="s">
        <v>119</v>
      </c>
      <c r="K17" s="23">
        <v>32000</v>
      </c>
      <c r="L17" s="23">
        <v>9600</v>
      </c>
      <c r="M17" s="23">
        <v>4000</v>
      </c>
      <c r="N17" s="24" t="s">
        <v>26</v>
      </c>
      <c r="O17" s="17" t="s">
        <v>102</v>
      </c>
    </row>
    <row r="18" spans="1:15" x14ac:dyDescent="0.3">
      <c r="A18" s="16">
        <v>1016</v>
      </c>
      <c r="B18" s="16" t="s">
        <v>120</v>
      </c>
      <c r="C18" s="16" t="s">
        <v>18</v>
      </c>
      <c r="D18" s="16" t="s">
        <v>121</v>
      </c>
      <c r="E18" s="16" t="s">
        <v>122</v>
      </c>
      <c r="F18" s="16" t="s">
        <v>123</v>
      </c>
      <c r="G18" s="16" t="s">
        <v>124</v>
      </c>
      <c r="H18" s="16" t="s">
        <v>94</v>
      </c>
      <c r="I18" s="16" t="s">
        <v>125</v>
      </c>
      <c r="J18" s="16" t="s">
        <v>126</v>
      </c>
      <c r="K18" s="25">
        <v>5000</v>
      </c>
      <c r="L18" s="25">
        <v>0</v>
      </c>
      <c r="M18" s="25">
        <v>0</v>
      </c>
      <c r="N18" s="26" t="s">
        <v>26</v>
      </c>
      <c r="O18" s="16" t="s">
        <v>89</v>
      </c>
    </row>
    <row r="19" spans="1:15" x14ac:dyDescent="0.3">
      <c r="A19" s="17">
        <v>1017</v>
      </c>
      <c r="B19" s="17" t="s">
        <v>127</v>
      </c>
      <c r="C19" s="17" t="s">
        <v>35</v>
      </c>
      <c r="D19" s="17" t="s">
        <v>129</v>
      </c>
      <c r="E19" s="17" t="s">
        <v>130</v>
      </c>
      <c r="F19" s="17" t="s">
        <v>131</v>
      </c>
      <c r="G19" s="17" t="s">
        <v>132</v>
      </c>
      <c r="H19" s="17" t="s">
        <v>133</v>
      </c>
      <c r="I19" s="17" t="s">
        <v>24</v>
      </c>
      <c r="J19" s="17" t="s">
        <v>134</v>
      </c>
      <c r="K19" s="23">
        <v>75000</v>
      </c>
      <c r="L19" s="23">
        <v>22500</v>
      </c>
      <c r="M19" s="23">
        <v>9500</v>
      </c>
      <c r="N19" s="24" t="s">
        <v>26</v>
      </c>
      <c r="O19" s="17" t="s">
        <v>17</v>
      </c>
    </row>
    <row r="20" spans="1:15" x14ac:dyDescent="0.3">
      <c r="A20" s="16">
        <v>1018</v>
      </c>
      <c r="B20" s="16" t="s">
        <v>135</v>
      </c>
      <c r="C20" s="16" t="s">
        <v>18</v>
      </c>
      <c r="D20" s="16" t="s">
        <v>136</v>
      </c>
      <c r="E20" s="16" t="s">
        <v>137</v>
      </c>
      <c r="F20" s="16" t="s">
        <v>138</v>
      </c>
      <c r="G20" s="16" t="s">
        <v>139</v>
      </c>
      <c r="H20" s="16" t="s">
        <v>133</v>
      </c>
      <c r="I20" s="16" t="s">
        <v>24</v>
      </c>
      <c r="J20" s="16" t="s">
        <v>140</v>
      </c>
      <c r="K20" s="25">
        <v>55000</v>
      </c>
      <c r="L20" s="25">
        <v>16500</v>
      </c>
      <c r="M20" s="25">
        <v>7000</v>
      </c>
      <c r="N20" s="26" t="s">
        <v>26</v>
      </c>
      <c r="O20" s="16" t="s">
        <v>127</v>
      </c>
    </row>
    <row r="21" spans="1:15" x14ac:dyDescent="0.3">
      <c r="A21" s="17">
        <v>1019</v>
      </c>
      <c r="B21" s="17" t="s">
        <v>141</v>
      </c>
      <c r="C21" s="17" t="s">
        <v>35</v>
      </c>
      <c r="D21" s="17" t="s">
        <v>142</v>
      </c>
      <c r="E21" s="17" t="s">
        <v>143</v>
      </c>
      <c r="F21" s="17" t="s">
        <v>144</v>
      </c>
      <c r="G21" s="17" t="s">
        <v>145</v>
      </c>
      <c r="H21" s="17" t="s">
        <v>133</v>
      </c>
      <c r="I21" s="17" t="s">
        <v>24</v>
      </c>
      <c r="J21" s="17" t="s">
        <v>146</v>
      </c>
      <c r="K21" s="23">
        <v>44000</v>
      </c>
      <c r="L21" s="23">
        <v>13200</v>
      </c>
      <c r="M21" s="23">
        <v>5500</v>
      </c>
      <c r="N21" s="24" t="s">
        <v>26</v>
      </c>
      <c r="O21" s="17" t="s">
        <v>127</v>
      </c>
    </row>
    <row r="22" spans="1:15" x14ac:dyDescent="0.3">
      <c r="A22" s="16">
        <v>1020</v>
      </c>
      <c r="B22" s="16" t="s">
        <v>147</v>
      </c>
      <c r="C22" s="16" t="s">
        <v>18</v>
      </c>
      <c r="D22" s="16" t="s">
        <v>148</v>
      </c>
      <c r="E22" s="16" t="s">
        <v>149</v>
      </c>
      <c r="F22" s="16" t="s">
        <v>150</v>
      </c>
      <c r="G22" s="16" t="s">
        <v>151</v>
      </c>
      <c r="H22" s="16" t="s">
        <v>133</v>
      </c>
      <c r="I22" s="16" t="s">
        <v>24</v>
      </c>
      <c r="J22" s="16" t="s">
        <v>152</v>
      </c>
      <c r="K22" s="25">
        <v>33000</v>
      </c>
      <c r="L22" s="25">
        <v>9900</v>
      </c>
      <c r="M22" s="25">
        <v>4000</v>
      </c>
      <c r="N22" s="26" t="s">
        <v>26</v>
      </c>
      <c r="O22" s="16" t="s">
        <v>135</v>
      </c>
    </row>
    <row r="23" spans="1:15" x14ac:dyDescent="0.3">
      <c r="A23" s="17">
        <v>1021</v>
      </c>
      <c r="B23" s="17" t="s">
        <v>153</v>
      </c>
      <c r="C23" s="17" t="s">
        <v>18</v>
      </c>
      <c r="D23" s="17" t="s">
        <v>154</v>
      </c>
      <c r="E23" s="17" t="s">
        <v>155</v>
      </c>
      <c r="F23" s="17" t="s">
        <v>156</v>
      </c>
      <c r="G23" s="17" t="s">
        <v>157</v>
      </c>
      <c r="H23" s="17" t="s">
        <v>158</v>
      </c>
      <c r="I23" s="17" t="s">
        <v>24</v>
      </c>
      <c r="J23" s="17" t="s">
        <v>159</v>
      </c>
      <c r="K23" s="23">
        <v>68000</v>
      </c>
      <c r="L23" s="23">
        <v>20400</v>
      </c>
      <c r="M23" s="23">
        <v>8500</v>
      </c>
      <c r="N23" s="24" t="s">
        <v>26</v>
      </c>
      <c r="O23" s="17" t="s">
        <v>17</v>
      </c>
    </row>
    <row r="24" spans="1:15" x14ac:dyDescent="0.3">
      <c r="A24" s="16">
        <v>1022</v>
      </c>
      <c r="B24" s="16" t="s">
        <v>160</v>
      </c>
      <c r="C24" s="16" t="s">
        <v>35</v>
      </c>
      <c r="D24" s="16" t="s">
        <v>161</v>
      </c>
      <c r="E24" s="16" t="s">
        <v>162</v>
      </c>
      <c r="F24" s="16" t="s">
        <v>163</v>
      </c>
      <c r="G24" s="16" t="s">
        <v>164</v>
      </c>
      <c r="H24" s="16" t="s">
        <v>158</v>
      </c>
      <c r="I24" s="16" t="s">
        <v>24</v>
      </c>
      <c r="J24" s="16" t="s">
        <v>165</v>
      </c>
      <c r="K24" s="25">
        <v>50000</v>
      </c>
      <c r="L24" s="25">
        <v>15000</v>
      </c>
      <c r="M24" s="25">
        <v>6000</v>
      </c>
      <c r="N24" s="26" t="s">
        <v>26</v>
      </c>
      <c r="O24" s="16" t="s">
        <v>153</v>
      </c>
    </row>
    <row r="25" spans="1:15" x14ac:dyDescent="0.3">
      <c r="A25" s="17">
        <v>1023</v>
      </c>
      <c r="B25" s="17" t="s">
        <v>166</v>
      </c>
      <c r="C25" s="17" t="s">
        <v>18</v>
      </c>
      <c r="D25" s="17" t="s">
        <v>167</v>
      </c>
      <c r="E25" s="17" t="s">
        <v>168</v>
      </c>
      <c r="F25" s="17" t="s">
        <v>169</v>
      </c>
      <c r="G25" s="17" t="s">
        <v>170</v>
      </c>
      <c r="H25" s="17" t="s">
        <v>158</v>
      </c>
      <c r="I25" s="17" t="s">
        <v>24</v>
      </c>
      <c r="J25" s="17" t="s">
        <v>171</v>
      </c>
      <c r="K25" s="23">
        <v>36000</v>
      </c>
      <c r="L25" s="23">
        <v>10800</v>
      </c>
      <c r="M25" s="23">
        <v>4500</v>
      </c>
      <c r="N25" s="24" t="s">
        <v>26</v>
      </c>
      <c r="O25" s="17" t="s">
        <v>160</v>
      </c>
    </row>
    <row r="26" spans="1:15" x14ac:dyDescent="0.3">
      <c r="A26" s="16">
        <v>1024</v>
      </c>
      <c r="B26" s="16" t="s">
        <v>172</v>
      </c>
      <c r="C26" s="16" t="s">
        <v>35</v>
      </c>
      <c r="D26" s="16" t="s">
        <v>173</v>
      </c>
      <c r="E26" s="16" t="s">
        <v>174</v>
      </c>
      <c r="F26" s="16" t="s">
        <v>175</v>
      </c>
      <c r="G26" s="16" t="s">
        <v>176</v>
      </c>
      <c r="H26" s="16" t="s">
        <v>158</v>
      </c>
      <c r="I26" s="16" t="s">
        <v>24</v>
      </c>
      <c r="J26" s="16" t="s">
        <v>177</v>
      </c>
      <c r="K26" s="25">
        <v>28000</v>
      </c>
      <c r="L26" s="25">
        <v>8400</v>
      </c>
      <c r="M26" s="25">
        <v>3500</v>
      </c>
      <c r="N26" s="26" t="s">
        <v>26</v>
      </c>
      <c r="O26" s="16" t="s">
        <v>166</v>
      </c>
    </row>
    <row r="27" spans="1:15" x14ac:dyDescent="0.3">
      <c r="A27" s="17">
        <v>1025</v>
      </c>
      <c r="B27" s="17" t="s">
        <v>178</v>
      </c>
      <c r="C27" s="17" t="s">
        <v>35</v>
      </c>
      <c r="D27" s="17" t="s">
        <v>179</v>
      </c>
      <c r="E27" s="17" t="s">
        <v>180</v>
      </c>
      <c r="F27" s="17" t="s">
        <v>181</v>
      </c>
      <c r="G27" s="17" t="s">
        <v>182</v>
      </c>
      <c r="H27" s="17" t="s">
        <v>183</v>
      </c>
      <c r="I27" s="17" t="s">
        <v>24</v>
      </c>
      <c r="J27" s="17" t="s">
        <v>25</v>
      </c>
      <c r="K27" s="23">
        <v>80000</v>
      </c>
      <c r="L27" s="23">
        <v>24000</v>
      </c>
      <c r="M27" s="23">
        <v>10500</v>
      </c>
      <c r="N27" s="24" t="s">
        <v>26</v>
      </c>
      <c r="O27" s="17" t="s">
        <v>27</v>
      </c>
    </row>
    <row r="28" spans="1:15" x14ac:dyDescent="0.3">
      <c r="A28" s="16">
        <v>1026</v>
      </c>
      <c r="B28" s="16" t="s">
        <v>184</v>
      </c>
      <c r="C28" s="16" t="s">
        <v>35</v>
      </c>
      <c r="D28" s="16" t="s">
        <v>185</v>
      </c>
      <c r="E28" s="16" t="s">
        <v>186</v>
      </c>
      <c r="F28" s="16" t="s">
        <v>187</v>
      </c>
      <c r="G28" s="16" t="s">
        <v>188</v>
      </c>
      <c r="H28" s="16" t="s">
        <v>183</v>
      </c>
      <c r="I28" s="16" t="s">
        <v>24</v>
      </c>
      <c r="J28" s="16" t="s">
        <v>189</v>
      </c>
      <c r="K28" s="25">
        <v>58000</v>
      </c>
      <c r="L28" s="25">
        <v>17400</v>
      </c>
      <c r="M28" s="25">
        <v>7500</v>
      </c>
      <c r="N28" s="26" t="s">
        <v>26</v>
      </c>
      <c r="O28" s="16" t="s">
        <v>178</v>
      </c>
    </row>
    <row r="29" spans="1:15" x14ac:dyDescent="0.3">
      <c r="A29" s="17">
        <v>1027</v>
      </c>
      <c r="B29" s="17" t="s">
        <v>191</v>
      </c>
      <c r="C29" s="17" t="s">
        <v>18</v>
      </c>
      <c r="D29" s="17" t="s">
        <v>192</v>
      </c>
      <c r="E29" s="17" t="s">
        <v>193</v>
      </c>
      <c r="F29" s="17" t="s">
        <v>194</v>
      </c>
      <c r="G29" s="17" t="s">
        <v>195</v>
      </c>
      <c r="H29" s="17" t="s">
        <v>183</v>
      </c>
      <c r="I29" s="17" t="s">
        <v>24</v>
      </c>
      <c r="J29" s="17" t="s">
        <v>196</v>
      </c>
      <c r="K29" s="23">
        <v>38000</v>
      </c>
      <c r="L29" s="23">
        <v>11400</v>
      </c>
      <c r="M29" s="23">
        <v>5000</v>
      </c>
      <c r="N29" s="24" t="s">
        <v>26</v>
      </c>
      <c r="O29" s="17" t="s">
        <v>184</v>
      </c>
    </row>
    <row r="30" spans="1:15" x14ac:dyDescent="0.3">
      <c r="A30" s="16">
        <v>1028</v>
      </c>
      <c r="B30" s="16" t="s">
        <v>197</v>
      </c>
      <c r="C30" s="16" t="s">
        <v>35</v>
      </c>
      <c r="D30" s="16" t="s">
        <v>198</v>
      </c>
      <c r="E30" s="16" t="s">
        <v>199</v>
      </c>
      <c r="F30" s="16" t="s">
        <v>200</v>
      </c>
      <c r="G30" s="16" t="s">
        <v>118</v>
      </c>
      <c r="H30" s="16" t="s">
        <v>94</v>
      </c>
      <c r="I30" s="16" t="s">
        <v>24</v>
      </c>
      <c r="J30" s="16" t="s">
        <v>201</v>
      </c>
      <c r="K30" s="25">
        <v>32000</v>
      </c>
      <c r="L30" s="25">
        <v>9600</v>
      </c>
      <c r="M30" s="25">
        <v>4000</v>
      </c>
      <c r="N30" s="27" t="s">
        <v>208</v>
      </c>
      <c r="O30" s="16" t="s">
        <v>96</v>
      </c>
    </row>
    <row r="31" spans="1:15" x14ac:dyDescent="0.3">
      <c r="A31" s="17">
        <v>1029</v>
      </c>
      <c r="B31" s="17" t="s">
        <v>203</v>
      </c>
      <c r="C31" s="17" t="s">
        <v>18</v>
      </c>
      <c r="D31" s="17" t="s">
        <v>204</v>
      </c>
      <c r="E31" s="17" t="s">
        <v>205</v>
      </c>
      <c r="F31" s="17" t="s">
        <v>206</v>
      </c>
      <c r="G31" s="17" t="s">
        <v>73</v>
      </c>
      <c r="H31" s="17" t="s">
        <v>60</v>
      </c>
      <c r="I31" s="17" t="s">
        <v>24</v>
      </c>
      <c r="J31" s="17" t="s">
        <v>207</v>
      </c>
      <c r="K31" s="23">
        <v>38000</v>
      </c>
      <c r="L31" s="23">
        <v>11400</v>
      </c>
      <c r="M31" s="23">
        <v>4500</v>
      </c>
      <c r="N31" s="28" t="s">
        <v>208</v>
      </c>
      <c r="O31" s="17" t="s">
        <v>55</v>
      </c>
    </row>
    <row r="32" spans="1:15" x14ac:dyDescent="0.3">
      <c r="A32" s="16">
        <v>1030</v>
      </c>
      <c r="B32" s="16" t="s">
        <v>209</v>
      </c>
      <c r="C32" s="16" t="s">
        <v>35</v>
      </c>
      <c r="D32" s="16" t="s">
        <v>210</v>
      </c>
      <c r="E32" s="16" t="s">
        <v>211</v>
      </c>
      <c r="F32" s="16" t="s">
        <v>212</v>
      </c>
      <c r="G32" s="16" t="s">
        <v>139</v>
      </c>
      <c r="H32" s="16" t="s">
        <v>133</v>
      </c>
      <c r="I32" s="16" t="s">
        <v>213</v>
      </c>
      <c r="J32" s="16" t="s">
        <v>214</v>
      </c>
      <c r="K32" s="25">
        <v>48000</v>
      </c>
      <c r="L32" s="25">
        <v>0</v>
      </c>
      <c r="M32" s="25">
        <v>5000</v>
      </c>
      <c r="N32" s="29" t="s">
        <v>215</v>
      </c>
      <c r="O32" s="16" t="s">
        <v>127</v>
      </c>
    </row>
    <row r="33" spans="1:15" x14ac:dyDescent="0.3">
      <c r="A33" s="17">
        <v>1031</v>
      </c>
      <c r="B33" s="17" t="s">
        <v>216</v>
      </c>
      <c r="C33" s="17" t="s">
        <v>18</v>
      </c>
      <c r="D33" s="17" t="s">
        <v>217</v>
      </c>
      <c r="E33" s="17" t="s">
        <v>218</v>
      </c>
      <c r="F33" s="17" t="s">
        <v>219</v>
      </c>
      <c r="G33" s="17" t="s">
        <v>170</v>
      </c>
      <c r="H33" s="17" t="s">
        <v>158</v>
      </c>
      <c r="I33" s="17" t="s">
        <v>24</v>
      </c>
      <c r="J33" s="17" t="s">
        <v>146</v>
      </c>
      <c r="K33" s="23">
        <v>34000</v>
      </c>
      <c r="L33" s="23">
        <v>10200</v>
      </c>
      <c r="M33" s="23">
        <v>4000</v>
      </c>
      <c r="N33" s="28" t="s">
        <v>208</v>
      </c>
      <c r="O33" s="17" t="s">
        <v>160</v>
      </c>
    </row>
    <row r="34" spans="1:15" x14ac:dyDescent="0.3">
      <c r="A34" s="16">
        <v>1032</v>
      </c>
      <c r="B34" s="16" t="s">
        <v>220</v>
      </c>
      <c r="C34" s="16" t="s">
        <v>35</v>
      </c>
      <c r="D34" s="16" t="s">
        <v>221</v>
      </c>
      <c r="E34" s="16" t="s">
        <v>222</v>
      </c>
      <c r="F34" s="16" t="s">
        <v>223</v>
      </c>
      <c r="G34" s="16" t="s">
        <v>195</v>
      </c>
      <c r="H34" s="16" t="s">
        <v>183</v>
      </c>
      <c r="I34" s="16" t="s">
        <v>24</v>
      </c>
      <c r="J34" s="16" t="s">
        <v>224</v>
      </c>
      <c r="K34" s="25">
        <v>36000</v>
      </c>
      <c r="L34" s="25">
        <v>10800</v>
      </c>
      <c r="M34" s="25">
        <v>4500</v>
      </c>
      <c r="N34" s="30" t="s">
        <v>225</v>
      </c>
      <c r="O34" s="16" t="s">
        <v>184</v>
      </c>
    </row>
  </sheetData>
  <autoFilter ref="A2:O34" xr:uid="{00000000-0009-0000-0000-000002000000}"/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8ADD"/>
  </sheetPr>
  <dimension ref="A1:R34"/>
  <sheetViews>
    <sheetView zoomScaleNormal="100" workbookViewId="0">
      <pane ySplit="2" topLeftCell="A3" activePane="bottomLeft" state="frozen"/>
      <selection pane="bottomLeft" activeCell="L20" sqref="L20"/>
    </sheetView>
  </sheetViews>
  <sheetFormatPr defaultColWidth="8.6640625" defaultRowHeight="14.4" x14ac:dyDescent="0.3"/>
  <cols>
    <col min="1" max="1" width="10.77734375" bestFit="1" customWidth="1"/>
    <col min="2" max="2" width="14" bestFit="1" customWidth="1"/>
    <col min="3" max="3" width="11.21875" bestFit="1" customWidth="1"/>
    <col min="4" max="4" width="28.6640625" bestFit="1" customWidth="1"/>
    <col min="5" max="5" width="23.77734375" bestFit="1" customWidth="1"/>
    <col min="6" max="6" width="13" bestFit="1" customWidth="1"/>
    <col min="7" max="7" width="17.109375" bestFit="1" customWidth="1"/>
    <col min="8" max="8" width="18.44140625" bestFit="1" customWidth="1"/>
    <col min="9" max="9" width="14.77734375" bestFit="1" customWidth="1"/>
    <col min="10" max="10" width="8.6640625" bestFit="1" customWidth="1"/>
    <col min="11" max="11" width="14" bestFit="1" customWidth="1"/>
    <col min="12" max="12" width="15.21875" bestFit="1" customWidth="1"/>
    <col min="13" max="13" width="11.109375" bestFit="1" customWidth="1"/>
    <col min="14" max="14" width="20.5546875" bestFit="1" customWidth="1"/>
    <col min="15" max="15" width="14.33203125" bestFit="1" customWidth="1"/>
    <col min="16" max="16" width="15.33203125" bestFit="1" customWidth="1"/>
    <col min="17" max="17" width="10.5546875" bestFit="1" customWidth="1"/>
    <col min="18" max="18" width="11" bestFit="1" customWidth="1"/>
  </cols>
  <sheetData>
    <row r="1" spans="1:18" ht="27.75" customHeight="1" x14ac:dyDescent="0.3">
      <c r="A1" s="10" t="s">
        <v>298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21.75" customHeight="1" x14ac:dyDescent="0.3">
      <c r="A2" s="15" t="s">
        <v>2</v>
      </c>
      <c r="B2" s="15" t="s">
        <v>3</v>
      </c>
      <c r="C2" s="15" t="s">
        <v>4</v>
      </c>
      <c r="D2" s="15" t="s">
        <v>8</v>
      </c>
      <c r="E2" s="15" t="s">
        <v>9</v>
      </c>
      <c r="F2" s="15" t="s">
        <v>299</v>
      </c>
      <c r="G2" s="15" t="s">
        <v>11</v>
      </c>
      <c r="H2" s="15" t="s">
        <v>300</v>
      </c>
      <c r="I2" s="15" t="s">
        <v>254</v>
      </c>
      <c r="J2" s="15" t="s">
        <v>301</v>
      </c>
      <c r="K2" s="15" t="s">
        <v>302</v>
      </c>
      <c r="L2" s="15" t="s">
        <v>303</v>
      </c>
      <c r="M2" s="15" t="s">
        <v>304</v>
      </c>
      <c r="N2" s="15" t="s">
        <v>16</v>
      </c>
      <c r="O2" s="15" t="s">
        <v>305</v>
      </c>
      <c r="P2" s="15" t="s">
        <v>306</v>
      </c>
      <c r="Q2" s="15" t="s">
        <v>307</v>
      </c>
      <c r="R2" s="15" t="s">
        <v>308</v>
      </c>
    </row>
    <row r="3" spans="1:18" x14ac:dyDescent="0.3">
      <c r="A3" s="17">
        <v>1001</v>
      </c>
      <c r="B3" s="17" t="s">
        <v>17</v>
      </c>
      <c r="C3" s="17" t="s">
        <v>18</v>
      </c>
      <c r="D3" s="17" t="s">
        <v>21</v>
      </c>
      <c r="E3" s="17" t="s">
        <v>23</v>
      </c>
      <c r="F3" s="17" t="s">
        <v>24</v>
      </c>
      <c r="G3" s="17" t="s">
        <v>25</v>
      </c>
      <c r="H3" s="31">
        <f t="shared" ref="H3:H34" ca="1" si="0">DATEDIF(G3,TODAY(),"Y")</f>
        <v>9</v>
      </c>
      <c r="I3" s="32">
        <v>95000</v>
      </c>
      <c r="J3" s="32">
        <v>28500</v>
      </c>
      <c r="K3" s="32">
        <v>12000</v>
      </c>
      <c r="L3" s="33">
        <f t="shared" ref="L3:L34" si="1">I3+J3+K3</f>
        <v>135500</v>
      </c>
      <c r="M3" s="24" t="s">
        <v>26</v>
      </c>
      <c r="N3" s="17" t="s">
        <v>27</v>
      </c>
      <c r="O3" s="31">
        <f ca="1">DATEDIF(DATEVALUE("1982-03-12"),TODAY(),"Y")</f>
        <v>44</v>
      </c>
      <c r="P3" s="34" t="str">
        <f t="shared" ref="P3:P34" si="2">IF(I3&gt;=75000,"Grade A - Senior",IF(I3&gt;=50000,"Grade B - Mid-Level",IF(I3&gt;=30000,"Grade C - Junior","Grade D - Entry")))</f>
        <v>Grade A - Senior</v>
      </c>
      <c r="Q3" s="35">
        <f t="shared" ref="Q3:Q34" si="3">IF(I3&gt;0,J3/I3,0)</f>
        <v>0.3</v>
      </c>
      <c r="R3" s="17" t="s">
        <v>20</v>
      </c>
    </row>
    <row r="4" spans="1:18" x14ac:dyDescent="0.3">
      <c r="A4" s="16">
        <v>1002</v>
      </c>
      <c r="B4" s="16" t="s">
        <v>41</v>
      </c>
      <c r="C4" s="16" t="s">
        <v>18</v>
      </c>
      <c r="D4" s="16" t="s">
        <v>31</v>
      </c>
      <c r="E4" s="16" t="s">
        <v>23</v>
      </c>
      <c r="F4" s="16" t="s">
        <v>24</v>
      </c>
      <c r="G4" s="16" t="s">
        <v>33</v>
      </c>
      <c r="H4" s="36">
        <f t="shared" ca="1" si="0"/>
        <v>7</v>
      </c>
      <c r="I4" s="37">
        <v>70000</v>
      </c>
      <c r="J4" s="37">
        <v>21000</v>
      </c>
      <c r="K4" s="37">
        <v>9000</v>
      </c>
      <c r="L4" s="38">
        <f t="shared" si="1"/>
        <v>100000</v>
      </c>
      <c r="M4" s="26" t="s">
        <v>26</v>
      </c>
      <c r="N4" s="16" t="s">
        <v>17</v>
      </c>
      <c r="O4" s="36">
        <f ca="1">DATEDIF(DATEVALUE("1990-07-18"),TODAY(),"Y")</f>
        <v>35</v>
      </c>
      <c r="P4" s="39" t="str">
        <f t="shared" si="2"/>
        <v>Grade B - Mid-Level</v>
      </c>
      <c r="Q4" s="40">
        <f t="shared" si="3"/>
        <v>0.3</v>
      </c>
      <c r="R4" s="16" t="s">
        <v>30</v>
      </c>
    </row>
    <row r="5" spans="1:18" x14ac:dyDescent="0.3">
      <c r="A5" s="17">
        <v>1003</v>
      </c>
      <c r="B5" s="17" t="s">
        <v>34</v>
      </c>
      <c r="C5" s="17" t="s">
        <v>35</v>
      </c>
      <c r="D5" s="17" t="s">
        <v>38</v>
      </c>
      <c r="E5" s="17" t="s">
        <v>23</v>
      </c>
      <c r="F5" s="17" t="s">
        <v>24</v>
      </c>
      <c r="G5" s="17" t="s">
        <v>40</v>
      </c>
      <c r="H5" s="31">
        <f t="shared" ca="1" si="0"/>
        <v>6</v>
      </c>
      <c r="I5" s="32">
        <v>42000</v>
      </c>
      <c r="J5" s="32">
        <v>12600</v>
      </c>
      <c r="K5" s="32">
        <v>5000</v>
      </c>
      <c r="L5" s="33">
        <f t="shared" si="1"/>
        <v>59600</v>
      </c>
      <c r="M5" s="24" t="s">
        <v>26</v>
      </c>
      <c r="N5" s="17" t="s">
        <v>41</v>
      </c>
      <c r="O5" s="31">
        <f ca="1">DATEDIF(DATEVALUE("1992-11-25"),TODAY(),"Y")</f>
        <v>33</v>
      </c>
      <c r="P5" s="34" t="str">
        <f t="shared" si="2"/>
        <v>Grade C - Junior</v>
      </c>
      <c r="Q5" s="35">
        <f t="shared" si="3"/>
        <v>0.3</v>
      </c>
      <c r="R5" s="17" t="s">
        <v>37</v>
      </c>
    </row>
    <row r="6" spans="1:18" x14ac:dyDescent="0.3">
      <c r="A6" s="16">
        <v>1004</v>
      </c>
      <c r="B6" s="16" t="s">
        <v>42</v>
      </c>
      <c r="C6" s="16" t="s">
        <v>18</v>
      </c>
      <c r="D6" s="16" t="s">
        <v>45</v>
      </c>
      <c r="E6" s="16" t="s">
        <v>23</v>
      </c>
      <c r="F6" s="16" t="s">
        <v>24</v>
      </c>
      <c r="G6" s="16" t="s">
        <v>48</v>
      </c>
      <c r="H6" s="36">
        <f t="shared" ca="1" si="0"/>
        <v>4</v>
      </c>
      <c r="I6" s="37">
        <v>35000</v>
      </c>
      <c r="J6" s="37">
        <v>10500</v>
      </c>
      <c r="K6" s="37">
        <v>4000</v>
      </c>
      <c r="L6" s="38">
        <f t="shared" si="1"/>
        <v>49500</v>
      </c>
      <c r="M6" s="26" t="s">
        <v>26</v>
      </c>
      <c r="N6" s="16" t="s">
        <v>41</v>
      </c>
      <c r="O6" s="36">
        <f ca="1">DATEDIF(DATEVALUE("1995-05-30"),TODAY(),"Y")</f>
        <v>31</v>
      </c>
      <c r="P6" s="39" t="str">
        <f t="shared" si="2"/>
        <v>Grade C - Junior</v>
      </c>
      <c r="Q6" s="40">
        <f t="shared" si="3"/>
        <v>0.3</v>
      </c>
      <c r="R6" s="16" t="s">
        <v>44</v>
      </c>
    </row>
    <row r="7" spans="1:18" x14ac:dyDescent="0.3">
      <c r="A7" s="17">
        <v>1005</v>
      </c>
      <c r="B7" s="17" t="s">
        <v>49</v>
      </c>
      <c r="C7" s="17" t="s">
        <v>35</v>
      </c>
      <c r="D7" s="17" t="s">
        <v>52</v>
      </c>
      <c r="E7" s="17" t="s">
        <v>23</v>
      </c>
      <c r="F7" s="17" t="s">
        <v>24</v>
      </c>
      <c r="G7" s="17" t="s">
        <v>54</v>
      </c>
      <c r="H7" s="31">
        <f t="shared" ca="1" si="0"/>
        <v>3</v>
      </c>
      <c r="I7" s="32">
        <v>28000</v>
      </c>
      <c r="J7" s="32">
        <v>8400</v>
      </c>
      <c r="K7" s="32">
        <v>3500</v>
      </c>
      <c r="L7" s="33">
        <f t="shared" si="1"/>
        <v>39900</v>
      </c>
      <c r="M7" s="24" t="s">
        <v>26</v>
      </c>
      <c r="N7" s="17" t="s">
        <v>34</v>
      </c>
      <c r="O7" s="31">
        <f ca="1">DATEDIF(DATEVALUE("1998-09-14"),TODAY(),"Y")</f>
        <v>27</v>
      </c>
      <c r="P7" s="34" t="str">
        <f t="shared" si="2"/>
        <v>Grade D - Entry</v>
      </c>
      <c r="Q7" s="35">
        <f t="shared" si="3"/>
        <v>0.3</v>
      </c>
      <c r="R7" s="17" t="s">
        <v>51</v>
      </c>
    </row>
    <row r="8" spans="1:18" x14ac:dyDescent="0.3">
      <c r="A8" s="16">
        <v>1006</v>
      </c>
      <c r="B8" s="16" t="s">
        <v>55</v>
      </c>
      <c r="C8" s="16" t="s">
        <v>35</v>
      </c>
      <c r="D8" s="16" t="s">
        <v>58</v>
      </c>
      <c r="E8" s="16" t="s">
        <v>60</v>
      </c>
      <c r="F8" s="16" t="s">
        <v>24</v>
      </c>
      <c r="G8" s="16" t="s">
        <v>61</v>
      </c>
      <c r="H8" s="36">
        <f t="shared" ca="1" si="0"/>
        <v>8</v>
      </c>
      <c r="I8" s="37">
        <v>72000</v>
      </c>
      <c r="J8" s="37">
        <v>21600</v>
      </c>
      <c r="K8" s="37">
        <v>9500</v>
      </c>
      <c r="L8" s="38">
        <f t="shared" si="1"/>
        <v>103100</v>
      </c>
      <c r="M8" s="26" t="s">
        <v>26</v>
      </c>
      <c r="N8" s="16" t="s">
        <v>17</v>
      </c>
      <c r="O8" s="36">
        <f ca="1">DATEDIF(DATEVALUE("1985-01-22"),TODAY(),"Y")</f>
        <v>41</v>
      </c>
      <c r="P8" s="39" t="str">
        <f t="shared" si="2"/>
        <v>Grade B - Mid-Level</v>
      </c>
      <c r="Q8" s="40">
        <f t="shared" si="3"/>
        <v>0.3</v>
      </c>
      <c r="R8" s="16" t="s">
        <v>57</v>
      </c>
    </row>
    <row r="9" spans="1:18" x14ac:dyDescent="0.3">
      <c r="A9" s="17">
        <v>1007</v>
      </c>
      <c r="B9" s="17" t="s">
        <v>81</v>
      </c>
      <c r="C9" s="17" t="s">
        <v>18</v>
      </c>
      <c r="D9" s="17" t="s">
        <v>66</v>
      </c>
      <c r="E9" s="17" t="s">
        <v>60</v>
      </c>
      <c r="F9" s="17" t="s">
        <v>24</v>
      </c>
      <c r="G9" s="17" t="s">
        <v>68</v>
      </c>
      <c r="H9" s="31">
        <f t="shared" ca="1" si="0"/>
        <v>7</v>
      </c>
      <c r="I9" s="32">
        <v>52000</v>
      </c>
      <c r="J9" s="32">
        <v>15600</v>
      </c>
      <c r="K9" s="32">
        <v>6500</v>
      </c>
      <c r="L9" s="33">
        <f t="shared" si="1"/>
        <v>74100</v>
      </c>
      <c r="M9" s="24" t="s">
        <v>26</v>
      </c>
      <c r="N9" s="17" t="s">
        <v>55</v>
      </c>
      <c r="O9" s="31">
        <f ca="1">DATEDIF(DATEVALUE("1991-08-10"),TODAY(),"Y")</f>
        <v>34</v>
      </c>
      <c r="P9" s="34" t="str">
        <f t="shared" si="2"/>
        <v>Grade B - Mid-Level</v>
      </c>
      <c r="Q9" s="35">
        <f t="shared" si="3"/>
        <v>0.3</v>
      </c>
      <c r="R9" s="17" t="s">
        <v>65</v>
      </c>
    </row>
    <row r="10" spans="1:18" x14ac:dyDescent="0.3">
      <c r="A10" s="16">
        <v>1008</v>
      </c>
      <c r="B10" s="16" t="s">
        <v>69</v>
      </c>
      <c r="C10" s="16" t="s">
        <v>35</v>
      </c>
      <c r="D10" s="16" t="s">
        <v>72</v>
      </c>
      <c r="E10" s="16" t="s">
        <v>60</v>
      </c>
      <c r="F10" s="16" t="s">
        <v>24</v>
      </c>
      <c r="G10" s="16" t="s">
        <v>74</v>
      </c>
      <c r="H10" s="36">
        <f t="shared" ca="1" si="0"/>
        <v>5</v>
      </c>
      <c r="I10" s="37">
        <v>40000</v>
      </c>
      <c r="J10" s="37">
        <v>12000</v>
      </c>
      <c r="K10" s="37">
        <v>5000</v>
      </c>
      <c r="L10" s="38">
        <f t="shared" si="1"/>
        <v>57000</v>
      </c>
      <c r="M10" s="26" t="s">
        <v>26</v>
      </c>
      <c r="N10" s="16" t="s">
        <v>55</v>
      </c>
      <c r="O10" s="36">
        <f ca="1">DATEDIF(DATEVALUE("1994-04-05"),TODAY(),"Y")</f>
        <v>32</v>
      </c>
      <c r="P10" s="39" t="str">
        <f t="shared" si="2"/>
        <v>Grade C - Junior</v>
      </c>
      <c r="Q10" s="40">
        <f t="shared" si="3"/>
        <v>0.3</v>
      </c>
      <c r="R10" s="16" t="s">
        <v>71</v>
      </c>
    </row>
    <row r="11" spans="1:18" x14ac:dyDescent="0.3">
      <c r="A11" s="17">
        <v>1009</v>
      </c>
      <c r="B11" s="17" t="s">
        <v>75</v>
      </c>
      <c r="C11" s="17" t="s">
        <v>18</v>
      </c>
      <c r="D11" s="17" t="s">
        <v>78</v>
      </c>
      <c r="E11" s="17" t="s">
        <v>60</v>
      </c>
      <c r="F11" s="17" t="s">
        <v>24</v>
      </c>
      <c r="G11" s="17" t="s">
        <v>80</v>
      </c>
      <c r="H11" s="31">
        <f t="shared" ca="1" si="0"/>
        <v>3</v>
      </c>
      <c r="I11" s="32">
        <v>32000</v>
      </c>
      <c r="J11" s="32">
        <v>9600</v>
      </c>
      <c r="K11" s="32">
        <v>4000</v>
      </c>
      <c r="L11" s="33">
        <f t="shared" si="1"/>
        <v>45600</v>
      </c>
      <c r="M11" s="24" t="s">
        <v>26</v>
      </c>
      <c r="N11" s="17" t="s">
        <v>81</v>
      </c>
      <c r="O11" s="31">
        <f ca="1">DATEDIF(DATEVALUE("1996-12-19"),TODAY(),"Y")</f>
        <v>29</v>
      </c>
      <c r="P11" s="34" t="str">
        <f t="shared" si="2"/>
        <v>Grade C - Junior</v>
      </c>
      <c r="Q11" s="35">
        <f t="shared" si="3"/>
        <v>0.3</v>
      </c>
      <c r="R11" s="17" t="s">
        <v>77</v>
      </c>
    </row>
    <row r="12" spans="1:18" x14ac:dyDescent="0.3">
      <c r="A12" s="16">
        <v>1010</v>
      </c>
      <c r="B12" s="16" t="s">
        <v>82</v>
      </c>
      <c r="C12" s="16" t="s">
        <v>35</v>
      </c>
      <c r="D12" s="16" t="s">
        <v>86</v>
      </c>
      <c r="E12" s="16" t="s">
        <v>60</v>
      </c>
      <c r="F12" s="16" t="s">
        <v>24</v>
      </c>
      <c r="G12" s="16" t="s">
        <v>88</v>
      </c>
      <c r="H12" s="36">
        <f t="shared" ca="1" si="0"/>
        <v>3</v>
      </c>
      <c r="I12" s="37">
        <v>27000</v>
      </c>
      <c r="J12" s="37">
        <v>8100</v>
      </c>
      <c r="K12" s="37">
        <v>3000</v>
      </c>
      <c r="L12" s="38">
        <f t="shared" si="1"/>
        <v>38100</v>
      </c>
      <c r="M12" s="26" t="s">
        <v>26</v>
      </c>
      <c r="N12" s="16" t="s">
        <v>69</v>
      </c>
      <c r="O12" s="36">
        <f ca="1">DATEDIF(DATEVALUE("1999-03-27"),TODAY(),"Y")</f>
        <v>27</v>
      </c>
      <c r="P12" s="39" t="str">
        <f t="shared" si="2"/>
        <v>Grade D - Entry</v>
      </c>
      <c r="Q12" s="40">
        <f t="shared" si="3"/>
        <v>0.3</v>
      </c>
      <c r="R12" s="16" t="s">
        <v>85</v>
      </c>
    </row>
    <row r="13" spans="1:18" x14ac:dyDescent="0.3">
      <c r="A13" s="17">
        <v>1011</v>
      </c>
      <c r="B13" s="17" t="s">
        <v>89</v>
      </c>
      <c r="C13" s="17" t="s">
        <v>18</v>
      </c>
      <c r="D13" s="17" t="s">
        <v>92</v>
      </c>
      <c r="E13" s="17" t="s">
        <v>94</v>
      </c>
      <c r="F13" s="17" t="s">
        <v>24</v>
      </c>
      <c r="G13" s="17" t="s">
        <v>95</v>
      </c>
      <c r="H13" s="31">
        <f t="shared" ca="1" si="0"/>
        <v>6</v>
      </c>
      <c r="I13" s="32">
        <v>78000</v>
      </c>
      <c r="J13" s="32">
        <v>23400</v>
      </c>
      <c r="K13" s="32">
        <v>10000</v>
      </c>
      <c r="L13" s="33">
        <f t="shared" si="1"/>
        <v>111400</v>
      </c>
      <c r="M13" s="24" t="s">
        <v>26</v>
      </c>
      <c r="N13" s="17" t="s">
        <v>17</v>
      </c>
      <c r="O13" s="31">
        <f ca="1">DATEDIF(DATEVALUE("1987-11-05"),TODAY(),"Y")</f>
        <v>38</v>
      </c>
      <c r="P13" s="34" t="str">
        <f t="shared" si="2"/>
        <v>Grade A - Senior</v>
      </c>
      <c r="Q13" s="35">
        <f t="shared" si="3"/>
        <v>0.3</v>
      </c>
      <c r="R13" s="17" t="s">
        <v>91</v>
      </c>
    </row>
    <row r="14" spans="1:18" x14ac:dyDescent="0.3">
      <c r="A14" s="16">
        <v>1012</v>
      </c>
      <c r="B14" s="16" t="s">
        <v>96</v>
      </c>
      <c r="C14" s="16" t="s">
        <v>35</v>
      </c>
      <c r="D14" s="16" t="s">
        <v>99</v>
      </c>
      <c r="E14" s="16" t="s">
        <v>94</v>
      </c>
      <c r="F14" s="16" t="s">
        <v>24</v>
      </c>
      <c r="G14" s="16" t="s">
        <v>101</v>
      </c>
      <c r="H14" s="36">
        <f t="shared" ca="1" si="0"/>
        <v>5</v>
      </c>
      <c r="I14" s="37">
        <v>58000</v>
      </c>
      <c r="J14" s="37">
        <v>17400</v>
      </c>
      <c r="K14" s="37">
        <v>7500</v>
      </c>
      <c r="L14" s="38">
        <f t="shared" si="1"/>
        <v>82900</v>
      </c>
      <c r="M14" s="26" t="s">
        <v>26</v>
      </c>
      <c r="N14" s="16" t="s">
        <v>89</v>
      </c>
      <c r="O14" s="36">
        <f ca="1">DATEDIF(DATEVALUE("1992-06-14"),TODAY(),"Y")</f>
        <v>34</v>
      </c>
      <c r="P14" s="39" t="str">
        <f t="shared" si="2"/>
        <v>Grade B - Mid-Level</v>
      </c>
      <c r="Q14" s="40">
        <f t="shared" si="3"/>
        <v>0.3</v>
      </c>
      <c r="R14" s="16" t="s">
        <v>98</v>
      </c>
    </row>
    <row r="15" spans="1:18" x14ac:dyDescent="0.3">
      <c r="A15" s="17">
        <v>1013</v>
      </c>
      <c r="B15" s="17" t="s">
        <v>102</v>
      </c>
      <c r="C15" s="17" t="s">
        <v>18</v>
      </c>
      <c r="D15" s="17" t="s">
        <v>105</v>
      </c>
      <c r="E15" s="17" t="s">
        <v>94</v>
      </c>
      <c r="F15" s="17" t="s">
        <v>24</v>
      </c>
      <c r="G15" s="17" t="s">
        <v>107</v>
      </c>
      <c r="H15" s="31">
        <f t="shared" ca="1" si="0"/>
        <v>5</v>
      </c>
      <c r="I15" s="32">
        <v>45000</v>
      </c>
      <c r="J15" s="32">
        <v>13500</v>
      </c>
      <c r="K15" s="32">
        <v>5500</v>
      </c>
      <c r="L15" s="33">
        <f t="shared" si="1"/>
        <v>64000</v>
      </c>
      <c r="M15" s="24" t="s">
        <v>26</v>
      </c>
      <c r="N15" s="17" t="s">
        <v>89</v>
      </c>
      <c r="O15" s="31">
        <f ca="1">DATEDIF(DATEVALUE("1994-02-28"),TODAY(),"Y")</f>
        <v>32</v>
      </c>
      <c r="P15" s="34" t="str">
        <f t="shared" si="2"/>
        <v>Grade C - Junior</v>
      </c>
      <c r="Q15" s="35">
        <f t="shared" si="3"/>
        <v>0.3</v>
      </c>
      <c r="R15" s="17" t="s">
        <v>104</v>
      </c>
    </row>
    <row r="16" spans="1:18" x14ac:dyDescent="0.3">
      <c r="A16" s="16">
        <v>1014</v>
      </c>
      <c r="B16" s="16" t="s">
        <v>108</v>
      </c>
      <c r="C16" s="16" t="s">
        <v>35</v>
      </c>
      <c r="D16" s="16" t="s">
        <v>111</v>
      </c>
      <c r="E16" s="16" t="s">
        <v>94</v>
      </c>
      <c r="F16" s="16" t="s">
        <v>24</v>
      </c>
      <c r="G16" s="16" t="s">
        <v>113</v>
      </c>
      <c r="H16" s="36">
        <f t="shared" ca="1" si="0"/>
        <v>4</v>
      </c>
      <c r="I16" s="37">
        <v>42000</v>
      </c>
      <c r="J16" s="37">
        <v>12600</v>
      </c>
      <c r="K16" s="37">
        <v>5000</v>
      </c>
      <c r="L16" s="38">
        <f t="shared" si="1"/>
        <v>59600</v>
      </c>
      <c r="M16" s="26" t="s">
        <v>26</v>
      </c>
      <c r="N16" s="16" t="s">
        <v>96</v>
      </c>
      <c r="O16" s="36">
        <f ca="1">DATEDIF(DATEVALUE("1996-09-10"),TODAY(),"Y")</f>
        <v>29</v>
      </c>
      <c r="P16" s="39" t="str">
        <f t="shared" si="2"/>
        <v>Grade C - Junior</v>
      </c>
      <c r="Q16" s="40">
        <f t="shared" si="3"/>
        <v>0.3</v>
      </c>
      <c r="R16" s="16" t="s">
        <v>110</v>
      </c>
    </row>
    <row r="17" spans="1:18" x14ac:dyDescent="0.3">
      <c r="A17" s="17">
        <v>1015</v>
      </c>
      <c r="B17" s="17" t="s">
        <v>114</v>
      </c>
      <c r="C17" s="17" t="s">
        <v>18</v>
      </c>
      <c r="D17" s="17" t="s">
        <v>117</v>
      </c>
      <c r="E17" s="17" t="s">
        <v>94</v>
      </c>
      <c r="F17" s="17" t="s">
        <v>24</v>
      </c>
      <c r="G17" s="17" t="s">
        <v>119</v>
      </c>
      <c r="H17" s="31">
        <f t="shared" ca="1" si="0"/>
        <v>2</v>
      </c>
      <c r="I17" s="32">
        <v>32000</v>
      </c>
      <c r="J17" s="32">
        <v>9600</v>
      </c>
      <c r="K17" s="32">
        <v>4000</v>
      </c>
      <c r="L17" s="33">
        <f t="shared" si="1"/>
        <v>45600</v>
      </c>
      <c r="M17" s="24" t="s">
        <v>26</v>
      </c>
      <c r="N17" s="17" t="s">
        <v>102</v>
      </c>
      <c r="O17" s="31">
        <f ca="1">DATEDIF(DATEVALUE("1998-07-22"),TODAY(),"Y")</f>
        <v>27</v>
      </c>
      <c r="P17" s="34" t="str">
        <f t="shared" si="2"/>
        <v>Grade C - Junior</v>
      </c>
      <c r="Q17" s="35">
        <f t="shared" si="3"/>
        <v>0.3</v>
      </c>
      <c r="R17" s="17" t="s">
        <v>116</v>
      </c>
    </row>
    <row r="18" spans="1:18" x14ac:dyDescent="0.3">
      <c r="A18" s="16">
        <v>1016</v>
      </c>
      <c r="B18" s="16" t="s">
        <v>120</v>
      </c>
      <c r="C18" s="16" t="s">
        <v>18</v>
      </c>
      <c r="D18" s="16" t="s">
        <v>123</v>
      </c>
      <c r="E18" s="16" t="s">
        <v>94</v>
      </c>
      <c r="F18" s="16" t="s">
        <v>125</v>
      </c>
      <c r="G18" s="16" t="s">
        <v>126</v>
      </c>
      <c r="H18" s="36">
        <f t="shared" ca="1" si="0"/>
        <v>0</v>
      </c>
      <c r="I18" s="37">
        <v>5000</v>
      </c>
      <c r="J18" s="37">
        <v>0</v>
      </c>
      <c r="K18" s="37">
        <v>0</v>
      </c>
      <c r="L18" s="38">
        <f>I18+J18+K18</f>
        <v>5000</v>
      </c>
      <c r="M18" s="26" t="s">
        <v>26</v>
      </c>
      <c r="N18" s="16" t="s">
        <v>89</v>
      </c>
      <c r="O18" s="36">
        <f ca="1">DATEDIF(DATEVALUE("2003-04-15"),TODAY(),"Y")</f>
        <v>23</v>
      </c>
      <c r="P18" s="39" t="str">
        <f t="shared" si="2"/>
        <v>Grade D - Entry</v>
      </c>
      <c r="Q18" s="40">
        <f t="shared" si="3"/>
        <v>0</v>
      </c>
      <c r="R18" s="16" t="s">
        <v>122</v>
      </c>
    </row>
    <row r="19" spans="1:18" x14ac:dyDescent="0.3">
      <c r="A19" s="17">
        <v>1017</v>
      </c>
      <c r="B19" s="17" t="s">
        <v>127</v>
      </c>
      <c r="C19" s="17" t="s">
        <v>35</v>
      </c>
      <c r="D19" s="17" t="s">
        <v>131</v>
      </c>
      <c r="E19" s="17" t="s">
        <v>133</v>
      </c>
      <c r="F19" s="17" t="s">
        <v>24</v>
      </c>
      <c r="G19" s="17" t="s">
        <v>134</v>
      </c>
      <c r="H19" s="31">
        <f t="shared" ca="1" si="0"/>
        <v>8</v>
      </c>
      <c r="I19" s="32">
        <v>75000</v>
      </c>
      <c r="J19" s="32">
        <v>22500</v>
      </c>
      <c r="K19" s="32">
        <v>9500</v>
      </c>
      <c r="L19" s="33">
        <f t="shared" si="1"/>
        <v>107000</v>
      </c>
      <c r="M19" s="24" t="s">
        <v>26</v>
      </c>
      <c r="N19" s="17" t="s">
        <v>17</v>
      </c>
      <c r="O19" s="31">
        <f ca="1">DATEDIF(DATEVALUE("1984-01-30"),TODAY(),"Y")</f>
        <v>42</v>
      </c>
      <c r="P19" s="34" t="str">
        <f t="shared" si="2"/>
        <v>Grade A - Senior</v>
      </c>
      <c r="Q19" s="35">
        <f t="shared" si="3"/>
        <v>0.3</v>
      </c>
      <c r="R19" s="17" t="s">
        <v>130</v>
      </c>
    </row>
    <row r="20" spans="1:18" x14ac:dyDescent="0.3">
      <c r="A20" s="16">
        <v>1018</v>
      </c>
      <c r="B20" s="16" t="s">
        <v>135</v>
      </c>
      <c r="C20" s="16" t="s">
        <v>18</v>
      </c>
      <c r="D20" s="16" t="s">
        <v>138</v>
      </c>
      <c r="E20" s="16" t="s">
        <v>133</v>
      </c>
      <c r="F20" s="16" t="s">
        <v>24</v>
      </c>
      <c r="G20" s="16" t="s">
        <v>140</v>
      </c>
      <c r="H20" s="36">
        <f t="shared" ca="1" si="0"/>
        <v>5</v>
      </c>
      <c r="I20" s="37">
        <v>55000</v>
      </c>
      <c r="J20" s="37">
        <v>16500</v>
      </c>
      <c r="K20" s="37">
        <v>7000</v>
      </c>
      <c r="L20" s="38">
        <f t="shared" si="1"/>
        <v>78500</v>
      </c>
      <c r="M20" s="26" t="s">
        <v>26</v>
      </c>
      <c r="N20" s="16" t="s">
        <v>127</v>
      </c>
      <c r="O20" s="36">
        <f ca="1">DATEDIF(DATEVALUE("1990-05-16"),TODAY(),"Y")</f>
        <v>36</v>
      </c>
      <c r="P20" s="39" t="str">
        <f t="shared" si="2"/>
        <v>Grade B - Mid-Level</v>
      </c>
      <c r="Q20" s="40">
        <f t="shared" si="3"/>
        <v>0.3</v>
      </c>
      <c r="R20" s="16" t="s">
        <v>137</v>
      </c>
    </row>
    <row r="21" spans="1:18" x14ac:dyDescent="0.3">
      <c r="A21" s="17">
        <v>1019</v>
      </c>
      <c r="B21" s="17" t="s">
        <v>141</v>
      </c>
      <c r="C21" s="17" t="s">
        <v>35</v>
      </c>
      <c r="D21" s="17" t="s">
        <v>144</v>
      </c>
      <c r="E21" s="17" t="s">
        <v>133</v>
      </c>
      <c r="F21" s="17" t="s">
        <v>24</v>
      </c>
      <c r="G21" s="17" t="s">
        <v>146</v>
      </c>
      <c r="H21" s="31">
        <f t="shared" ca="1" si="0"/>
        <v>4</v>
      </c>
      <c r="I21" s="32">
        <v>44000</v>
      </c>
      <c r="J21" s="32">
        <v>13200</v>
      </c>
      <c r="K21" s="32">
        <v>5500</v>
      </c>
      <c r="L21" s="33">
        <f t="shared" si="1"/>
        <v>62700</v>
      </c>
      <c r="M21" s="24" t="s">
        <v>26</v>
      </c>
      <c r="N21" s="17" t="s">
        <v>127</v>
      </c>
      <c r="O21" s="31">
        <f ca="1">DATEDIF(DATEVALUE("1993-10-08"),TODAY(),"Y")</f>
        <v>32</v>
      </c>
      <c r="P21" s="34" t="str">
        <f t="shared" si="2"/>
        <v>Grade C - Junior</v>
      </c>
      <c r="Q21" s="35">
        <f t="shared" si="3"/>
        <v>0.3</v>
      </c>
      <c r="R21" s="17" t="s">
        <v>143</v>
      </c>
    </row>
    <row r="22" spans="1:18" x14ac:dyDescent="0.3">
      <c r="A22" s="16">
        <v>1020</v>
      </c>
      <c r="B22" s="16" t="s">
        <v>147</v>
      </c>
      <c r="C22" s="16" t="s">
        <v>18</v>
      </c>
      <c r="D22" s="16" t="s">
        <v>150</v>
      </c>
      <c r="E22" s="16" t="s">
        <v>133</v>
      </c>
      <c r="F22" s="16" t="s">
        <v>24</v>
      </c>
      <c r="G22" s="16" t="s">
        <v>152</v>
      </c>
      <c r="H22" s="36">
        <f t="shared" ca="1" si="0"/>
        <v>3</v>
      </c>
      <c r="I22" s="37">
        <v>33000</v>
      </c>
      <c r="J22" s="37">
        <v>9900</v>
      </c>
      <c r="K22" s="37">
        <v>4000</v>
      </c>
      <c r="L22" s="38">
        <f t="shared" si="1"/>
        <v>46900</v>
      </c>
      <c r="M22" s="26" t="s">
        <v>26</v>
      </c>
      <c r="N22" s="16" t="s">
        <v>135</v>
      </c>
      <c r="O22" s="36">
        <f ca="1">DATEDIF(DATEVALUE("1997-03-21"),TODAY(),"Y")</f>
        <v>29</v>
      </c>
      <c r="P22" s="39" t="str">
        <f t="shared" si="2"/>
        <v>Grade C - Junior</v>
      </c>
      <c r="Q22" s="40">
        <f t="shared" si="3"/>
        <v>0.3</v>
      </c>
      <c r="R22" s="16" t="s">
        <v>149</v>
      </c>
    </row>
    <row r="23" spans="1:18" x14ac:dyDescent="0.3">
      <c r="A23" s="17">
        <v>1021</v>
      </c>
      <c r="B23" s="17" t="s">
        <v>153</v>
      </c>
      <c r="C23" s="17" t="s">
        <v>18</v>
      </c>
      <c r="D23" s="17" t="s">
        <v>156</v>
      </c>
      <c r="E23" s="17" t="s">
        <v>158</v>
      </c>
      <c r="F23" s="17" t="s">
        <v>24</v>
      </c>
      <c r="G23" s="17" t="s">
        <v>159</v>
      </c>
      <c r="H23" s="31">
        <f t="shared" ca="1" si="0"/>
        <v>6</v>
      </c>
      <c r="I23" s="32">
        <v>68000</v>
      </c>
      <c r="J23" s="32">
        <v>20400</v>
      </c>
      <c r="K23" s="32">
        <v>8500</v>
      </c>
      <c r="L23" s="33">
        <f t="shared" si="1"/>
        <v>96900</v>
      </c>
      <c r="M23" s="24" t="s">
        <v>26</v>
      </c>
      <c r="N23" s="17" t="s">
        <v>17</v>
      </c>
      <c r="O23" s="31">
        <f ca="1">DATEDIF(DATEVALUE("1986-08-12"),TODAY(),"Y")</f>
        <v>39</v>
      </c>
      <c r="P23" s="34" t="str">
        <f t="shared" si="2"/>
        <v>Grade B - Mid-Level</v>
      </c>
      <c r="Q23" s="35">
        <f t="shared" si="3"/>
        <v>0.3</v>
      </c>
      <c r="R23" s="17" t="s">
        <v>155</v>
      </c>
    </row>
    <row r="24" spans="1:18" x14ac:dyDescent="0.3">
      <c r="A24" s="16">
        <v>1022</v>
      </c>
      <c r="B24" s="16" t="s">
        <v>160</v>
      </c>
      <c r="C24" s="16" t="s">
        <v>35</v>
      </c>
      <c r="D24" s="16" t="s">
        <v>163</v>
      </c>
      <c r="E24" s="16" t="s">
        <v>158</v>
      </c>
      <c r="F24" s="16" t="s">
        <v>24</v>
      </c>
      <c r="G24" s="16" t="s">
        <v>165</v>
      </c>
      <c r="H24" s="36">
        <f t="shared" ca="1" si="0"/>
        <v>6</v>
      </c>
      <c r="I24" s="37">
        <v>50000</v>
      </c>
      <c r="J24" s="37">
        <v>15000</v>
      </c>
      <c r="K24" s="37">
        <v>6000</v>
      </c>
      <c r="L24" s="38">
        <f t="shared" si="1"/>
        <v>71000</v>
      </c>
      <c r="M24" s="26" t="s">
        <v>26</v>
      </c>
      <c r="N24" s="16" t="s">
        <v>153</v>
      </c>
      <c r="O24" s="36">
        <f ca="1">DATEDIF(DATEVALUE("1991-04-25"),TODAY(),"Y")</f>
        <v>35</v>
      </c>
      <c r="P24" s="39" t="str">
        <f t="shared" si="2"/>
        <v>Grade B - Mid-Level</v>
      </c>
      <c r="Q24" s="40">
        <f t="shared" si="3"/>
        <v>0.3</v>
      </c>
      <c r="R24" s="16" t="s">
        <v>162</v>
      </c>
    </row>
    <row r="25" spans="1:18" x14ac:dyDescent="0.3">
      <c r="A25" s="17">
        <v>1023</v>
      </c>
      <c r="B25" s="17" t="s">
        <v>166</v>
      </c>
      <c r="C25" s="17" t="s">
        <v>18</v>
      </c>
      <c r="D25" s="17" t="s">
        <v>169</v>
      </c>
      <c r="E25" s="17" t="s">
        <v>158</v>
      </c>
      <c r="F25" s="17" t="s">
        <v>24</v>
      </c>
      <c r="G25" s="17" t="s">
        <v>171</v>
      </c>
      <c r="H25" s="31">
        <f t="shared" ca="1" si="0"/>
        <v>4</v>
      </c>
      <c r="I25" s="32">
        <v>36000</v>
      </c>
      <c r="J25" s="32">
        <v>10800</v>
      </c>
      <c r="K25" s="32">
        <v>4500</v>
      </c>
      <c r="L25" s="33">
        <f t="shared" si="1"/>
        <v>51300</v>
      </c>
      <c r="M25" s="24" t="s">
        <v>26</v>
      </c>
      <c r="N25" s="17" t="s">
        <v>160</v>
      </c>
      <c r="O25" s="31">
        <f ca="1">DATEDIF(DATEVALUE("1995-11-30"),TODAY(),"Y")</f>
        <v>30</v>
      </c>
      <c r="P25" s="34" t="str">
        <f t="shared" si="2"/>
        <v>Grade C - Junior</v>
      </c>
      <c r="Q25" s="35">
        <f t="shared" si="3"/>
        <v>0.3</v>
      </c>
      <c r="R25" s="17" t="s">
        <v>168</v>
      </c>
    </row>
    <row r="26" spans="1:18" x14ac:dyDescent="0.3">
      <c r="A26" s="16">
        <v>1024</v>
      </c>
      <c r="B26" s="16" t="s">
        <v>172</v>
      </c>
      <c r="C26" s="16" t="s">
        <v>35</v>
      </c>
      <c r="D26" s="16" t="s">
        <v>175</v>
      </c>
      <c r="E26" s="16" t="s">
        <v>158</v>
      </c>
      <c r="F26" s="16" t="s">
        <v>24</v>
      </c>
      <c r="G26" s="16" t="s">
        <v>177</v>
      </c>
      <c r="H26" s="36">
        <f t="shared" ca="1" si="0"/>
        <v>2</v>
      </c>
      <c r="I26" s="37">
        <v>28000</v>
      </c>
      <c r="J26" s="37">
        <v>8400</v>
      </c>
      <c r="K26" s="37">
        <v>3500</v>
      </c>
      <c r="L26" s="38">
        <f t="shared" si="1"/>
        <v>39900</v>
      </c>
      <c r="M26" s="26" t="s">
        <v>26</v>
      </c>
      <c r="N26" s="16" t="s">
        <v>166</v>
      </c>
      <c r="O26" s="36">
        <f ca="1">DATEDIF(DATEVALUE("1998-06-17"),TODAY(),"Y")</f>
        <v>28</v>
      </c>
      <c r="P26" s="39" t="str">
        <f t="shared" si="2"/>
        <v>Grade D - Entry</v>
      </c>
      <c r="Q26" s="40">
        <f t="shared" si="3"/>
        <v>0.3</v>
      </c>
      <c r="R26" s="16" t="s">
        <v>174</v>
      </c>
    </row>
    <row r="27" spans="1:18" x14ac:dyDescent="0.3">
      <c r="A27" s="17">
        <v>1025</v>
      </c>
      <c r="B27" s="17" t="s">
        <v>178</v>
      </c>
      <c r="C27" s="17" t="s">
        <v>35</v>
      </c>
      <c r="D27" s="17" t="s">
        <v>181</v>
      </c>
      <c r="E27" s="17" t="s">
        <v>183</v>
      </c>
      <c r="F27" s="17" t="s">
        <v>24</v>
      </c>
      <c r="G27" s="17" t="s">
        <v>25</v>
      </c>
      <c r="H27" s="31">
        <f t="shared" ca="1" si="0"/>
        <v>9</v>
      </c>
      <c r="I27" s="32">
        <v>80000</v>
      </c>
      <c r="J27" s="32">
        <v>24000</v>
      </c>
      <c r="K27" s="32">
        <v>10500</v>
      </c>
      <c r="L27" s="33">
        <f t="shared" si="1"/>
        <v>114500</v>
      </c>
      <c r="M27" s="24" t="s">
        <v>26</v>
      </c>
      <c r="N27" s="17" t="s">
        <v>27</v>
      </c>
      <c r="O27" s="31">
        <f ca="1">DATEDIF(DATEVALUE("1983-09-05"),TODAY(),"Y")</f>
        <v>42</v>
      </c>
      <c r="P27" s="34" t="str">
        <f t="shared" si="2"/>
        <v>Grade A - Senior</v>
      </c>
      <c r="Q27" s="35">
        <f t="shared" si="3"/>
        <v>0.3</v>
      </c>
      <c r="R27" s="17" t="s">
        <v>180</v>
      </c>
    </row>
    <row r="28" spans="1:18" x14ac:dyDescent="0.3">
      <c r="A28" s="16">
        <v>1026</v>
      </c>
      <c r="B28" s="16" t="s">
        <v>184</v>
      </c>
      <c r="C28" s="16" t="s">
        <v>35</v>
      </c>
      <c r="D28" s="16" t="s">
        <v>187</v>
      </c>
      <c r="E28" s="16" t="s">
        <v>183</v>
      </c>
      <c r="F28" s="16" t="s">
        <v>24</v>
      </c>
      <c r="G28" s="16" t="s">
        <v>189</v>
      </c>
      <c r="H28" s="36">
        <f t="shared" ca="1" si="0"/>
        <v>6</v>
      </c>
      <c r="I28" s="37">
        <v>58000</v>
      </c>
      <c r="J28" s="37">
        <v>17400</v>
      </c>
      <c r="K28" s="37">
        <v>7500</v>
      </c>
      <c r="L28" s="38">
        <f t="shared" si="1"/>
        <v>82900</v>
      </c>
      <c r="M28" s="26" t="s">
        <v>26</v>
      </c>
      <c r="N28" s="16" t="s">
        <v>178</v>
      </c>
      <c r="O28" s="36">
        <f ca="1">DATEDIF(DATEVALUE("1992-02-14"),TODAY(),"Y")</f>
        <v>34</v>
      </c>
      <c r="P28" s="39" t="str">
        <f t="shared" si="2"/>
        <v>Grade B - Mid-Level</v>
      </c>
      <c r="Q28" s="40">
        <f t="shared" si="3"/>
        <v>0.3</v>
      </c>
      <c r="R28" s="16" t="s">
        <v>186</v>
      </c>
    </row>
    <row r="29" spans="1:18" x14ac:dyDescent="0.3">
      <c r="A29" s="17">
        <v>1027</v>
      </c>
      <c r="B29" s="17" t="s">
        <v>191</v>
      </c>
      <c r="C29" s="17" t="s">
        <v>18</v>
      </c>
      <c r="D29" s="17" t="s">
        <v>194</v>
      </c>
      <c r="E29" s="17" t="s">
        <v>183</v>
      </c>
      <c r="F29" s="17" t="s">
        <v>24</v>
      </c>
      <c r="G29" s="17" t="s">
        <v>196</v>
      </c>
      <c r="H29" s="31">
        <f t="shared" ca="1" si="0"/>
        <v>4</v>
      </c>
      <c r="I29" s="32">
        <v>38000</v>
      </c>
      <c r="J29" s="32">
        <v>11400</v>
      </c>
      <c r="K29" s="32">
        <v>5000</v>
      </c>
      <c r="L29" s="33">
        <f t="shared" si="1"/>
        <v>54400</v>
      </c>
      <c r="M29" s="24" t="s">
        <v>26</v>
      </c>
      <c r="N29" s="17" t="s">
        <v>184</v>
      </c>
      <c r="O29" s="31">
        <f ca="1">DATEDIF(DATEVALUE("1996-08-28"),TODAY(),"Y")</f>
        <v>29</v>
      </c>
      <c r="P29" s="34" t="str">
        <f t="shared" si="2"/>
        <v>Grade C - Junior</v>
      </c>
      <c r="Q29" s="35">
        <f t="shared" si="3"/>
        <v>0.3</v>
      </c>
      <c r="R29" s="17" t="s">
        <v>193</v>
      </c>
    </row>
    <row r="30" spans="1:18" x14ac:dyDescent="0.3">
      <c r="A30" s="16">
        <v>1028</v>
      </c>
      <c r="B30" s="16" t="s">
        <v>197</v>
      </c>
      <c r="C30" s="16" t="s">
        <v>35</v>
      </c>
      <c r="D30" s="16" t="s">
        <v>200</v>
      </c>
      <c r="E30" s="16" t="s">
        <v>94</v>
      </c>
      <c r="F30" s="16" t="s">
        <v>24</v>
      </c>
      <c r="G30" s="16" t="s">
        <v>201</v>
      </c>
      <c r="H30" s="36">
        <f t="shared" ca="1" si="0"/>
        <v>3</v>
      </c>
      <c r="I30" s="37">
        <v>32000</v>
      </c>
      <c r="J30" s="37">
        <v>9600</v>
      </c>
      <c r="K30" s="37">
        <v>4000</v>
      </c>
      <c r="L30" s="38">
        <f t="shared" si="1"/>
        <v>45600</v>
      </c>
      <c r="M30" s="27" t="s">
        <v>208</v>
      </c>
      <c r="N30" s="16" t="s">
        <v>96</v>
      </c>
      <c r="O30" s="36">
        <f ca="1">DATEDIF(DATEVALUE("1993-12-10"),TODAY(),"Y")</f>
        <v>32</v>
      </c>
      <c r="P30" s="39" t="str">
        <f t="shared" si="2"/>
        <v>Grade C - Junior</v>
      </c>
      <c r="Q30" s="40">
        <f t="shared" si="3"/>
        <v>0.3</v>
      </c>
      <c r="R30" s="16" t="s">
        <v>199</v>
      </c>
    </row>
    <row r="31" spans="1:18" x14ac:dyDescent="0.3">
      <c r="A31" s="17">
        <v>1029</v>
      </c>
      <c r="B31" s="17" t="s">
        <v>203</v>
      </c>
      <c r="C31" s="17" t="s">
        <v>18</v>
      </c>
      <c r="D31" s="17" t="s">
        <v>206</v>
      </c>
      <c r="E31" s="17" t="s">
        <v>60</v>
      </c>
      <c r="F31" s="17" t="s">
        <v>24</v>
      </c>
      <c r="G31" s="17" t="s">
        <v>207</v>
      </c>
      <c r="H31" s="31">
        <f t="shared" ca="1" si="0"/>
        <v>5</v>
      </c>
      <c r="I31" s="32">
        <v>38000</v>
      </c>
      <c r="J31" s="32">
        <v>11400</v>
      </c>
      <c r="K31" s="32">
        <v>4500</v>
      </c>
      <c r="L31" s="33">
        <f t="shared" si="1"/>
        <v>53900</v>
      </c>
      <c r="M31" s="28" t="s">
        <v>208</v>
      </c>
      <c r="N31" s="17" t="s">
        <v>55</v>
      </c>
      <c r="O31" s="31">
        <f ca="1">DATEDIF(DATEVALUE("1994-06-22"),TODAY(),"Y")</f>
        <v>31</v>
      </c>
      <c r="P31" s="34" t="str">
        <f t="shared" si="2"/>
        <v>Grade C - Junior</v>
      </c>
      <c r="Q31" s="35">
        <f t="shared" si="3"/>
        <v>0.3</v>
      </c>
      <c r="R31" s="17" t="s">
        <v>205</v>
      </c>
    </row>
    <row r="32" spans="1:18" x14ac:dyDescent="0.3">
      <c r="A32" s="16">
        <v>1030</v>
      </c>
      <c r="B32" s="16" t="s">
        <v>209</v>
      </c>
      <c r="C32" s="16" t="s">
        <v>35</v>
      </c>
      <c r="D32" s="16" t="s">
        <v>212</v>
      </c>
      <c r="E32" s="16" t="s">
        <v>133</v>
      </c>
      <c r="F32" s="16" t="s">
        <v>213</v>
      </c>
      <c r="G32" s="16" t="s">
        <v>214</v>
      </c>
      <c r="H32" s="36">
        <f t="shared" ca="1" si="0"/>
        <v>4</v>
      </c>
      <c r="I32" s="37">
        <v>48000</v>
      </c>
      <c r="J32" s="37">
        <v>0</v>
      </c>
      <c r="K32" s="37">
        <v>5000</v>
      </c>
      <c r="L32" s="38">
        <f t="shared" si="1"/>
        <v>53000</v>
      </c>
      <c r="M32" s="29" t="s">
        <v>215</v>
      </c>
      <c r="N32" s="16" t="s">
        <v>127</v>
      </c>
      <c r="O32" s="36">
        <f ca="1">DATEDIF(DATEVALUE("1990-01-15"),TODAY(),"Y")</f>
        <v>36</v>
      </c>
      <c r="P32" s="39" t="str">
        <f t="shared" si="2"/>
        <v>Grade C - Junior</v>
      </c>
      <c r="Q32" s="40">
        <f t="shared" si="3"/>
        <v>0</v>
      </c>
      <c r="R32" s="16" t="s">
        <v>211</v>
      </c>
    </row>
    <row r="33" spans="1:18" x14ac:dyDescent="0.3">
      <c r="A33" s="17">
        <v>1031</v>
      </c>
      <c r="B33" s="17" t="s">
        <v>216</v>
      </c>
      <c r="C33" s="17" t="s">
        <v>18</v>
      </c>
      <c r="D33" s="17" t="s">
        <v>219</v>
      </c>
      <c r="E33" s="17" t="s">
        <v>158</v>
      </c>
      <c r="F33" s="17" t="s">
        <v>24</v>
      </c>
      <c r="G33" s="17" t="s">
        <v>146</v>
      </c>
      <c r="H33" s="31">
        <f t="shared" ca="1" si="0"/>
        <v>4</v>
      </c>
      <c r="I33" s="32">
        <v>34000</v>
      </c>
      <c r="J33" s="32">
        <v>10200</v>
      </c>
      <c r="K33" s="32">
        <v>4000</v>
      </c>
      <c r="L33" s="33">
        <f t="shared" si="1"/>
        <v>48200</v>
      </c>
      <c r="M33" s="28" t="s">
        <v>208</v>
      </c>
      <c r="N33" s="17" t="s">
        <v>160</v>
      </c>
      <c r="O33" s="31">
        <f ca="1">DATEDIF(DATEVALUE("1995-04-08"),TODAY(),"Y")</f>
        <v>31</v>
      </c>
      <c r="P33" s="34" t="str">
        <f t="shared" si="2"/>
        <v>Grade C - Junior</v>
      </c>
      <c r="Q33" s="35">
        <f t="shared" si="3"/>
        <v>0.3</v>
      </c>
      <c r="R33" s="17" t="s">
        <v>218</v>
      </c>
    </row>
    <row r="34" spans="1:18" x14ac:dyDescent="0.3">
      <c r="A34" s="16">
        <v>1032</v>
      </c>
      <c r="B34" s="16" t="s">
        <v>220</v>
      </c>
      <c r="C34" s="16" t="s">
        <v>35</v>
      </c>
      <c r="D34" s="16" t="s">
        <v>223</v>
      </c>
      <c r="E34" s="16" t="s">
        <v>183</v>
      </c>
      <c r="F34" s="16" t="s">
        <v>24</v>
      </c>
      <c r="G34" s="16" t="s">
        <v>224</v>
      </c>
      <c r="H34" s="36">
        <f t="shared" ca="1" si="0"/>
        <v>4</v>
      </c>
      <c r="I34" s="37">
        <v>36000</v>
      </c>
      <c r="J34" s="37">
        <v>10800</v>
      </c>
      <c r="K34" s="37">
        <v>4500</v>
      </c>
      <c r="L34" s="38">
        <f t="shared" si="1"/>
        <v>51300</v>
      </c>
      <c r="M34" s="30" t="s">
        <v>225</v>
      </c>
      <c r="N34" s="16" t="s">
        <v>184</v>
      </c>
      <c r="O34" s="36">
        <f ca="1">DATEDIF(DATEVALUE("1997-10-30"),TODAY(),"Y")</f>
        <v>28</v>
      </c>
      <c r="P34" s="39" t="str">
        <f t="shared" si="2"/>
        <v>Grade C - Junior</v>
      </c>
      <c r="Q34" s="40">
        <f t="shared" si="3"/>
        <v>0.3</v>
      </c>
      <c r="R34" s="16" t="s">
        <v>222</v>
      </c>
    </row>
  </sheetData>
  <autoFilter ref="A2:R34" xr:uid="{00000000-0009-0000-0000-000003000000}"/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7DD"/>
  </sheetPr>
  <dimension ref="A1:I9"/>
  <sheetViews>
    <sheetView zoomScaleNormal="100" workbookViewId="0">
      <selection activeCell="D18" sqref="D18"/>
    </sheetView>
  </sheetViews>
  <sheetFormatPr defaultColWidth="8.6640625" defaultRowHeight="14.4" x14ac:dyDescent="0.3"/>
  <cols>
    <col min="1" max="1" width="21.5546875" bestFit="1" customWidth="1"/>
    <col min="2" max="2" width="10.77734375" bestFit="1" customWidth="1"/>
    <col min="3" max="3" width="9.33203125" bestFit="1" customWidth="1"/>
    <col min="4" max="4" width="12.6640625" bestFit="1" customWidth="1"/>
    <col min="5" max="5" width="8.88671875" bestFit="1" customWidth="1"/>
    <col min="6" max="6" width="9.21875" bestFit="1" customWidth="1"/>
    <col min="7" max="7" width="14.77734375" bestFit="1" customWidth="1"/>
    <col min="8" max="8" width="13.21875" bestFit="1" customWidth="1"/>
    <col min="9" max="9" width="9.33203125" bestFit="1" customWidth="1"/>
  </cols>
  <sheetData>
    <row r="1" spans="1:9" ht="27.75" customHeight="1" x14ac:dyDescent="0.3">
      <c r="A1" s="9" t="s">
        <v>309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15" t="s">
        <v>9</v>
      </c>
      <c r="B2" s="15" t="s">
        <v>310</v>
      </c>
      <c r="C2" s="15" t="s">
        <v>311</v>
      </c>
      <c r="D2" s="15" t="s">
        <v>312</v>
      </c>
      <c r="E2" s="15" t="s">
        <v>313</v>
      </c>
      <c r="F2" s="15" t="s">
        <v>314</v>
      </c>
      <c r="G2" s="15" t="s">
        <v>315</v>
      </c>
      <c r="H2" s="15" t="s">
        <v>316</v>
      </c>
      <c r="I2" s="15" t="s">
        <v>317</v>
      </c>
    </row>
    <row r="3" spans="1:9" x14ac:dyDescent="0.3">
      <c r="A3" s="41" t="s">
        <v>94</v>
      </c>
      <c r="B3" s="42" t="s">
        <v>89</v>
      </c>
      <c r="C3" s="42">
        <v>6</v>
      </c>
      <c r="D3" s="43">
        <v>44833</v>
      </c>
      <c r="E3" s="43">
        <v>15000</v>
      </c>
      <c r="F3" s="43">
        <v>78000</v>
      </c>
      <c r="G3" s="43">
        <v>318700</v>
      </c>
      <c r="H3" s="44">
        <f>G3/G9</f>
        <v>0.19318078496741931</v>
      </c>
      <c r="I3" s="45" t="s">
        <v>318</v>
      </c>
    </row>
    <row r="4" spans="1:9" x14ac:dyDescent="0.3">
      <c r="A4" s="46" t="s">
        <v>60</v>
      </c>
      <c r="B4" s="47" t="s">
        <v>55</v>
      </c>
      <c r="C4" s="47">
        <v>5</v>
      </c>
      <c r="D4" s="48">
        <v>44600</v>
      </c>
      <c r="E4" s="48">
        <v>27000</v>
      </c>
      <c r="F4" s="48">
        <v>72000</v>
      </c>
      <c r="G4" s="48">
        <v>274350</v>
      </c>
      <c r="H4" s="49">
        <f>G4/G9</f>
        <v>0.16629792392786785</v>
      </c>
      <c r="I4" s="50" t="s">
        <v>318</v>
      </c>
    </row>
    <row r="5" spans="1:9" x14ac:dyDescent="0.3">
      <c r="A5" s="41" t="s">
        <v>23</v>
      </c>
      <c r="B5" s="42" t="s">
        <v>17</v>
      </c>
      <c r="C5" s="42">
        <v>5</v>
      </c>
      <c r="D5" s="43">
        <v>54000</v>
      </c>
      <c r="E5" s="43">
        <v>28000</v>
      </c>
      <c r="F5" s="43">
        <v>95000</v>
      </c>
      <c r="G5" s="43">
        <v>357550</v>
      </c>
      <c r="H5" s="51">
        <f>G5/G9</f>
        <v>0.21672980754659796</v>
      </c>
      <c r="I5" s="52" t="s">
        <v>318</v>
      </c>
    </row>
    <row r="6" spans="1:9" x14ac:dyDescent="0.3">
      <c r="A6" s="46" t="s">
        <v>133</v>
      </c>
      <c r="B6" s="47" t="s">
        <v>127</v>
      </c>
      <c r="C6" s="47">
        <v>4</v>
      </c>
      <c r="D6" s="48">
        <v>51750</v>
      </c>
      <c r="E6" s="48">
        <v>33000</v>
      </c>
      <c r="F6" s="48">
        <v>75000</v>
      </c>
      <c r="G6" s="48">
        <v>256700</v>
      </c>
      <c r="H6" s="53">
        <f>G6/G9</f>
        <v>0.15559933323230793</v>
      </c>
      <c r="I6" s="54" t="s">
        <v>318</v>
      </c>
    </row>
    <row r="7" spans="1:9" x14ac:dyDescent="0.3">
      <c r="A7" s="41" t="s">
        <v>158</v>
      </c>
      <c r="B7" s="42" t="s">
        <v>153</v>
      </c>
      <c r="C7" s="42">
        <v>4</v>
      </c>
      <c r="D7" s="43">
        <v>45500</v>
      </c>
      <c r="E7" s="43">
        <v>28000</v>
      </c>
      <c r="F7" s="43">
        <v>68000</v>
      </c>
      <c r="G7" s="43">
        <v>229700</v>
      </c>
      <c r="H7" s="55">
        <f>G7/G9</f>
        <v>0.13923321715411427</v>
      </c>
      <c r="I7" s="56" t="s">
        <v>318</v>
      </c>
    </row>
    <row r="8" spans="1:9" x14ac:dyDescent="0.3">
      <c r="A8" s="46" t="s">
        <v>183</v>
      </c>
      <c r="B8" s="47" t="s">
        <v>178</v>
      </c>
      <c r="C8" s="47">
        <v>3</v>
      </c>
      <c r="D8" s="48">
        <v>58667</v>
      </c>
      <c r="E8" s="48">
        <v>38000</v>
      </c>
      <c r="F8" s="48">
        <v>80000</v>
      </c>
      <c r="G8" s="48">
        <v>212750</v>
      </c>
      <c r="H8" s="57">
        <f>G8/G9</f>
        <v>0.12895893317169269</v>
      </c>
      <c r="I8" s="58" t="s">
        <v>318</v>
      </c>
    </row>
    <row r="9" spans="1:9" x14ac:dyDescent="0.3">
      <c r="A9" s="59" t="s">
        <v>319</v>
      </c>
      <c r="B9" s="60" t="s">
        <v>287</v>
      </c>
      <c r="C9" s="60">
        <f>SUM(C3:C8)</f>
        <v>27</v>
      </c>
      <c r="D9" s="61">
        <f>AVERAGE(D3:D8)</f>
        <v>49891.666666666664</v>
      </c>
      <c r="E9" s="61">
        <f>MIN(E3:E8)</f>
        <v>15000</v>
      </c>
      <c r="F9" s="61">
        <f>MAX(F3:F8)</f>
        <v>95000</v>
      </c>
      <c r="G9" s="61">
        <f>SUM(G3:G8)</f>
        <v>1649750</v>
      </c>
      <c r="H9" s="60" t="s">
        <v>320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39922"/>
  </sheetPr>
  <dimension ref="A1:H53"/>
  <sheetViews>
    <sheetView zoomScaleNormal="100" workbookViewId="0">
      <pane ySplit="21" topLeftCell="A37" activePane="bottomLeft" state="frozen"/>
      <selection pane="bottomLeft" activeCell="I37" sqref="I37"/>
    </sheetView>
  </sheetViews>
  <sheetFormatPr defaultColWidth="8.6640625" defaultRowHeight="14.4" x14ac:dyDescent="0.3"/>
  <cols>
    <col min="1" max="1" width="20.21875" bestFit="1" customWidth="1"/>
    <col min="2" max="2" width="14" bestFit="1" customWidth="1"/>
    <col min="3" max="3" width="28.6640625" bestFit="1" customWidth="1"/>
    <col min="4" max="4" width="23.77734375" bestFit="1" customWidth="1"/>
    <col min="5" max="6" width="7.5546875" bestFit="1" customWidth="1"/>
    <col min="7" max="7" width="9.5546875" bestFit="1" customWidth="1"/>
    <col min="8" max="8" width="7.88671875" bestFit="1" customWidth="1"/>
  </cols>
  <sheetData>
    <row r="1" spans="1:8" ht="27.75" customHeight="1" x14ac:dyDescent="0.3">
      <c r="A1" s="8" t="s">
        <v>321</v>
      </c>
      <c r="B1" s="8"/>
      <c r="C1" s="8"/>
      <c r="D1" s="8"/>
      <c r="E1" s="8"/>
      <c r="F1" s="8"/>
      <c r="G1" s="8"/>
      <c r="H1" s="8"/>
    </row>
    <row r="2" spans="1:8" x14ac:dyDescent="0.3">
      <c r="A2" s="7" t="s">
        <v>322</v>
      </c>
      <c r="B2" s="7"/>
      <c r="C2" s="7"/>
      <c r="D2" s="7"/>
      <c r="E2" s="7"/>
      <c r="F2" s="7"/>
      <c r="G2" s="7"/>
      <c r="H2" s="7"/>
    </row>
    <row r="3" spans="1:8" x14ac:dyDescent="0.3">
      <c r="A3" s="62" t="s">
        <v>323</v>
      </c>
      <c r="B3" s="62" t="s">
        <v>324</v>
      </c>
      <c r="C3" s="62" t="s">
        <v>325</v>
      </c>
    </row>
    <row r="4" spans="1:8" x14ac:dyDescent="0.3">
      <c r="A4" s="46" t="s">
        <v>326</v>
      </c>
      <c r="B4" s="63">
        <f>COUNTA('3_Cleaned_Data'!A3:A34)</f>
        <v>32</v>
      </c>
      <c r="C4" s="46" t="s">
        <v>327</v>
      </c>
    </row>
    <row r="5" spans="1:8" x14ac:dyDescent="0.3">
      <c r="A5" s="41" t="s">
        <v>328</v>
      </c>
      <c r="B5" s="64">
        <f>SUMPRODUCT(('3_Cleaned_Data'!N3:N34="Active")*('3_Cleaned_Data'!L3:L34+'3_Cleaned_Data'!M3:M34+'3_Cleaned_Data'!K3:K34))</f>
        <v>1876900</v>
      </c>
      <c r="C5" s="41" t="s">
        <v>329</v>
      </c>
    </row>
    <row r="6" spans="1:8" x14ac:dyDescent="0.3">
      <c r="A6" s="46" t="s">
        <v>330</v>
      </c>
      <c r="B6" s="63">
        <f>AVERAGEIF('3_Cleaned_Data'!N3:N34,"Active",'3_Cleaned_Data'!K3:K34)</f>
        <v>48814.814814814818</v>
      </c>
      <c r="C6" s="46" t="s">
        <v>331</v>
      </c>
    </row>
    <row r="7" spans="1:8" x14ac:dyDescent="0.3">
      <c r="A7" s="41" t="s">
        <v>332</v>
      </c>
      <c r="B7" s="64">
        <f>MAX('3_Cleaned_Data'!K3:K34)</f>
        <v>95000</v>
      </c>
      <c r="C7" s="41" t="s">
        <v>333</v>
      </c>
    </row>
    <row r="8" spans="1:8" x14ac:dyDescent="0.3">
      <c r="A8" s="46" t="s">
        <v>334</v>
      </c>
      <c r="B8" s="65">
        <f>MIN('3_Cleaned_Data'!K3:K34)</f>
        <v>5000</v>
      </c>
      <c r="C8" s="46" t="s">
        <v>335</v>
      </c>
    </row>
    <row r="9" spans="1:8" x14ac:dyDescent="0.3">
      <c r="A9" s="41" t="s">
        <v>336</v>
      </c>
      <c r="B9" s="66">
        <f>MEDIAN('3_Cleaned_Data'!K3:K34)</f>
        <v>42000</v>
      </c>
      <c r="C9" s="41" t="s">
        <v>337</v>
      </c>
    </row>
    <row r="10" spans="1:8" x14ac:dyDescent="0.3">
      <c r="A10" s="46" t="s">
        <v>338</v>
      </c>
      <c r="B10" s="65">
        <f>COUNTIF('3_Cleaned_Data'!N3:N34,"Active")/COUNTA('3_Cleaned_Data'!A3:A34)</f>
        <v>0.84375</v>
      </c>
      <c r="C10" s="46" t="s">
        <v>339</v>
      </c>
    </row>
    <row r="13" spans="1:8" x14ac:dyDescent="0.3">
      <c r="A13" s="7" t="s">
        <v>340</v>
      </c>
      <c r="B13" s="7"/>
      <c r="C13" s="7"/>
      <c r="D13" s="7"/>
    </row>
    <row r="14" spans="1:8" x14ac:dyDescent="0.3">
      <c r="A14" s="62" t="s">
        <v>341</v>
      </c>
      <c r="B14" s="67" t="s">
        <v>342</v>
      </c>
    </row>
    <row r="15" spans="1:8" x14ac:dyDescent="0.3">
      <c r="A15" s="41" t="s">
        <v>343</v>
      </c>
      <c r="B15" s="42">
        <f>COUNTIFS('3_Cleaned_Data'!K3:K34,"&lt;30000")</f>
        <v>4</v>
      </c>
      <c r="C15" s="68">
        <f>B15/B18</f>
        <v>0.14285714285714285</v>
      </c>
      <c r="D15" s="35">
        <f>C15</f>
        <v>0.14285714285714285</v>
      </c>
    </row>
    <row r="16" spans="1:8" x14ac:dyDescent="0.3">
      <c r="A16" s="46" t="s">
        <v>344</v>
      </c>
      <c r="B16" s="47">
        <f>COUNTIFS('3_Cleaned_Data'!K3:K34,"&gt;="&amp;30000,'3_Cleaned_Data'!K3:K34,"&lt;"&amp;50000)</f>
        <v>16</v>
      </c>
      <c r="C16" s="69">
        <f>B16/B18</f>
        <v>0.5714285714285714</v>
      </c>
      <c r="D16" s="40">
        <f>D15+C16</f>
        <v>0.71428571428571419</v>
      </c>
    </row>
    <row r="17" spans="1:8" x14ac:dyDescent="0.3">
      <c r="A17" s="41" t="s">
        <v>345</v>
      </c>
      <c r="B17" s="42">
        <f>COUNTIFS('3_Cleaned_Data'!K3:K34,"&gt;="&amp;50000,'3_Cleaned_Data'!K3:K34,"&lt;"&amp;75000)</f>
        <v>8</v>
      </c>
      <c r="C17" s="68">
        <f>B17/B18</f>
        <v>0.2857142857142857</v>
      </c>
      <c r="D17" s="35">
        <f>D16+C17</f>
        <v>0.99999999999999989</v>
      </c>
    </row>
    <row r="18" spans="1:8" x14ac:dyDescent="0.3">
      <c r="A18" s="59" t="s">
        <v>319</v>
      </c>
      <c r="B18" s="60">
        <f>SUM(B15:B17)</f>
        <v>28</v>
      </c>
      <c r="C18" s="69">
        <f>B18/B18</f>
        <v>1</v>
      </c>
      <c r="D18" s="40">
        <f>D17+C18</f>
        <v>2</v>
      </c>
    </row>
    <row r="20" spans="1:8" x14ac:dyDescent="0.3">
      <c r="A20" s="7" t="s">
        <v>346</v>
      </c>
      <c r="B20" s="7"/>
      <c r="C20" s="7"/>
      <c r="D20" s="7"/>
      <c r="E20" s="7"/>
      <c r="F20" s="7"/>
      <c r="G20" s="7"/>
      <c r="H20" s="7"/>
    </row>
    <row r="21" spans="1:8" x14ac:dyDescent="0.3">
      <c r="A21" s="15" t="s">
        <v>2</v>
      </c>
      <c r="B21" s="15" t="s">
        <v>3</v>
      </c>
      <c r="C21" s="15" t="s">
        <v>8</v>
      </c>
      <c r="D21" s="15" t="s">
        <v>9</v>
      </c>
      <c r="E21" s="15" t="s">
        <v>347</v>
      </c>
      <c r="F21" s="15" t="s">
        <v>301</v>
      </c>
      <c r="G21" s="15" t="s">
        <v>302</v>
      </c>
      <c r="H21" s="15" t="s">
        <v>348</v>
      </c>
    </row>
    <row r="22" spans="1:8" x14ac:dyDescent="0.3">
      <c r="A22" s="16">
        <v>1001</v>
      </c>
      <c r="B22" s="16" t="s">
        <v>17</v>
      </c>
      <c r="C22" s="16" t="s">
        <v>21</v>
      </c>
      <c r="D22" s="16" t="s">
        <v>23</v>
      </c>
      <c r="E22" s="37">
        <v>95000</v>
      </c>
      <c r="F22" s="37">
        <v>28500</v>
      </c>
      <c r="G22" s="37">
        <v>12000</v>
      </c>
      <c r="H22" s="38">
        <f t="shared" ref="H22:H53" si="0">E22+F22+G22</f>
        <v>135500</v>
      </c>
    </row>
    <row r="23" spans="1:8" x14ac:dyDescent="0.3">
      <c r="A23" s="17">
        <v>1002</v>
      </c>
      <c r="B23" s="17" t="s">
        <v>41</v>
      </c>
      <c r="C23" s="17" t="s">
        <v>31</v>
      </c>
      <c r="D23" s="17" t="s">
        <v>23</v>
      </c>
      <c r="E23" s="32">
        <v>70000</v>
      </c>
      <c r="F23" s="32">
        <v>21000</v>
      </c>
      <c r="G23" s="32">
        <v>9000</v>
      </c>
      <c r="H23" s="33">
        <f t="shared" si="0"/>
        <v>100000</v>
      </c>
    </row>
    <row r="24" spans="1:8" x14ac:dyDescent="0.3">
      <c r="A24" s="16">
        <v>1003</v>
      </c>
      <c r="B24" s="16" t="s">
        <v>34</v>
      </c>
      <c r="C24" s="16" t="s">
        <v>38</v>
      </c>
      <c r="D24" s="16" t="s">
        <v>23</v>
      </c>
      <c r="E24" s="37">
        <v>42000</v>
      </c>
      <c r="F24" s="37">
        <v>12600</v>
      </c>
      <c r="G24" s="37">
        <v>5000</v>
      </c>
      <c r="H24" s="38">
        <f t="shared" si="0"/>
        <v>59600</v>
      </c>
    </row>
    <row r="25" spans="1:8" x14ac:dyDescent="0.3">
      <c r="A25" s="17">
        <v>1004</v>
      </c>
      <c r="B25" s="17" t="s">
        <v>42</v>
      </c>
      <c r="C25" s="17" t="s">
        <v>45</v>
      </c>
      <c r="D25" s="17" t="s">
        <v>23</v>
      </c>
      <c r="E25" s="32">
        <v>35000</v>
      </c>
      <c r="F25" s="32">
        <v>10500</v>
      </c>
      <c r="G25" s="32">
        <v>4000</v>
      </c>
      <c r="H25" s="33">
        <f t="shared" si="0"/>
        <v>49500</v>
      </c>
    </row>
    <row r="26" spans="1:8" x14ac:dyDescent="0.3">
      <c r="A26" s="16">
        <v>1005</v>
      </c>
      <c r="B26" s="16" t="s">
        <v>49</v>
      </c>
      <c r="C26" s="16" t="s">
        <v>52</v>
      </c>
      <c r="D26" s="16" t="s">
        <v>23</v>
      </c>
      <c r="E26" s="37">
        <v>28000</v>
      </c>
      <c r="F26" s="37">
        <v>8400</v>
      </c>
      <c r="G26" s="37">
        <v>3500</v>
      </c>
      <c r="H26" s="38">
        <f t="shared" si="0"/>
        <v>39900</v>
      </c>
    </row>
    <row r="27" spans="1:8" x14ac:dyDescent="0.3">
      <c r="A27" s="17">
        <v>1006</v>
      </c>
      <c r="B27" s="17" t="s">
        <v>55</v>
      </c>
      <c r="C27" s="17" t="s">
        <v>58</v>
      </c>
      <c r="D27" s="17" t="s">
        <v>60</v>
      </c>
      <c r="E27" s="32">
        <v>72000</v>
      </c>
      <c r="F27" s="32">
        <v>21600</v>
      </c>
      <c r="G27" s="32">
        <v>9500</v>
      </c>
      <c r="H27" s="33">
        <f t="shared" si="0"/>
        <v>103100</v>
      </c>
    </row>
    <row r="28" spans="1:8" x14ac:dyDescent="0.3">
      <c r="A28" s="16">
        <v>1007</v>
      </c>
      <c r="B28" s="16" t="s">
        <v>81</v>
      </c>
      <c r="C28" s="16" t="s">
        <v>66</v>
      </c>
      <c r="D28" s="16" t="s">
        <v>60</v>
      </c>
      <c r="E28" s="37">
        <v>52000</v>
      </c>
      <c r="F28" s="37">
        <v>15600</v>
      </c>
      <c r="G28" s="37">
        <v>6500</v>
      </c>
      <c r="H28" s="38">
        <f t="shared" si="0"/>
        <v>74100</v>
      </c>
    </row>
    <row r="29" spans="1:8" x14ac:dyDescent="0.3">
      <c r="A29" s="17">
        <v>1008</v>
      </c>
      <c r="B29" s="17" t="s">
        <v>69</v>
      </c>
      <c r="C29" s="17" t="s">
        <v>72</v>
      </c>
      <c r="D29" s="17" t="s">
        <v>60</v>
      </c>
      <c r="E29" s="32">
        <v>40000</v>
      </c>
      <c r="F29" s="32">
        <v>12000</v>
      </c>
      <c r="G29" s="32">
        <v>5000</v>
      </c>
      <c r="H29" s="33">
        <f t="shared" si="0"/>
        <v>57000</v>
      </c>
    </row>
    <row r="30" spans="1:8" x14ac:dyDescent="0.3">
      <c r="A30" s="16">
        <v>1009</v>
      </c>
      <c r="B30" s="16" t="s">
        <v>75</v>
      </c>
      <c r="C30" s="16" t="s">
        <v>78</v>
      </c>
      <c r="D30" s="16" t="s">
        <v>60</v>
      </c>
      <c r="E30" s="37">
        <v>32000</v>
      </c>
      <c r="F30" s="37">
        <v>9600</v>
      </c>
      <c r="G30" s="37">
        <v>4000</v>
      </c>
      <c r="H30" s="38">
        <f t="shared" si="0"/>
        <v>45600</v>
      </c>
    </row>
    <row r="31" spans="1:8" x14ac:dyDescent="0.3">
      <c r="A31" s="17">
        <v>1010</v>
      </c>
      <c r="B31" s="17" t="s">
        <v>82</v>
      </c>
      <c r="C31" s="17" t="s">
        <v>86</v>
      </c>
      <c r="D31" s="17" t="s">
        <v>60</v>
      </c>
      <c r="E31" s="32">
        <v>27000</v>
      </c>
      <c r="F31" s="32">
        <v>8100</v>
      </c>
      <c r="G31" s="32">
        <v>3000</v>
      </c>
      <c r="H31" s="33">
        <f t="shared" si="0"/>
        <v>38100</v>
      </c>
    </row>
    <row r="32" spans="1:8" x14ac:dyDescent="0.3">
      <c r="A32" s="16">
        <v>1011</v>
      </c>
      <c r="B32" s="16" t="s">
        <v>89</v>
      </c>
      <c r="C32" s="16" t="s">
        <v>92</v>
      </c>
      <c r="D32" s="16" t="s">
        <v>94</v>
      </c>
      <c r="E32" s="37">
        <v>78000</v>
      </c>
      <c r="F32" s="37">
        <v>23400</v>
      </c>
      <c r="G32" s="37">
        <v>10000</v>
      </c>
      <c r="H32" s="38">
        <f t="shared" si="0"/>
        <v>111400</v>
      </c>
    </row>
    <row r="33" spans="1:8" x14ac:dyDescent="0.3">
      <c r="A33" s="17">
        <v>1012</v>
      </c>
      <c r="B33" s="17" t="s">
        <v>96</v>
      </c>
      <c r="C33" s="17" t="s">
        <v>99</v>
      </c>
      <c r="D33" s="17" t="s">
        <v>94</v>
      </c>
      <c r="E33" s="32">
        <v>58000</v>
      </c>
      <c r="F33" s="32">
        <v>17400</v>
      </c>
      <c r="G33" s="32">
        <v>7500</v>
      </c>
      <c r="H33" s="33">
        <f t="shared" si="0"/>
        <v>82900</v>
      </c>
    </row>
    <row r="34" spans="1:8" x14ac:dyDescent="0.3">
      <c r="A34" s="16">
        <v>1013</v>
      </c>
      <c r="B34" s="16" t="s">
        <v>102</v>
      </c>
      <c r="C34" s="16" t="s">
        <v>105</v>
      </c>
      <c r="D34" s="16" t="s">
        <v>94</v>
      </c>
      <c r="E34" s="37">
        <v>45000</v>
      </c>
      <c r="F34" s="37">
        <v>13500</v>
      </c>
      <c r="G34" s="37">
        <v>5500</v>
      </c>
      <c r="H34" s="38">
        <f t="shared" si="0"/>
        <v>64000</v>
      </c>
    </row>
    <row r="35" spans="1:8" x14ac:dyDescent="0.3">
      <c r="A35" s="17">
        <v>1014</v>
      </c>
      <c r="B35" s="17" t="s">
        <v>108</v>
      </c>
      <c r="C35" s="17" t="s">
        <v>111</v>
      </c>
      <c r="D35" s="17" t="s">
        <v>94</v>
      </c>
      <c r="E35" s="32">
        <v>42000</v>
      </c>
      <c r="F35" s="32">
        <v>12600</v>
      </c>
      <c r="G35" s="32">
        <v>5000</v>
      </c>
      <c r="H35" s="33">
        <f t="shared" si="0"/>
        <v>59600</v>
      </c>
    </row>
    <row r="36" spans="1:8" x14ac:dyDescent="0.3">
      <c r="A36" s="16">
        <v>1015</v>
      </c>
      <c r="B36" s="16" t="s">
        <v>114</v>
      </c>
      <c r="C36" s="16" t="s">
        <v>117</v>
      </c>
      <c r="D36" s="16" t="s">
        <v>94</v>
      </c>
      <c r="E36" s="37">
        <v>32000</v>
      </c>
      <c r="F36" s="37">
        <v>9600</v>
      </c>
      <c r="G36" s="37">
        <v>4000</v>
      </c>
      <c r="H36" s="38">
        <f t="shared" si="0"/>
        <v>45600</v>
      </c>
    </row>
    <row r="37" spans="1:8" x14ac:dyDescent="0.3">
      <c r="A37" s="17">
        <v>1016</v>
      </c>
      <c r="B37" s="17" t="s">
        <v>120</v>
      </c>
      <c r="C37" s="17" t="s">
        <v>123</v>
      </c>
      <c r="D37" s="17" t="s">
        <v>94</v>
      </c>
      <c r="E37" s="32">
        <v>5000</v>
      </c>
      <c r="F37" s="32">
        <v>0</v>
      </c>
      <c r="G37" s="32">
        <v>0</v>
      </c>
      <c r="H37" s="33">
        <f t="shared" si="0"/>
        <v>5000</v>
      </c>
    </row>
    <row r="38" spans="1:8" x14ac:dyDescent="0.3">
      <c r="A38" s="16">
        <v>1017</v>
      </c>
      <c r="B38" s="16" t="s">
        <v>127</v>
      </c>
      <c r="C38" s="16" t="s">
        <v>131</v>
      </c>
      <c r="D38" s="16" t="s">
        <v>133</v>
      </c>
      <c r="E38" s="37">
        <v>75000</v>
      </c>
      <c r="F38" s="37">
        <v>22500</v>
      </c>
      <c r="G38" s="37">
        <v>9500</v>
      </c>
      <c r="H38" s="38">
        <f t="shared" si="0"/>
        <v>107000</v>
      </c>
    </row>
    <row r="39" spans="1:8" x14ac:dyDescent="0.3">
      <c r="A39" s="17">
        <v>1018</v>
      </c>
      <c r="B39" s="17" t="s">
        <v>135</v>
      </c>
      <c r="C39" s="17" t="s">
        <v>138</v>
      </c>
      <c r="D39" s="17" t="s">
        <v>133</v>
      </c>
      <c r="E39" s="32">
        <v>55000</v>
      </c>
      <c r="F39" s="32">
        <v>16500</v>
      </c>
      <c r="G39" s="32">
        <v>7000</v>
      </c>
      <c r="H39" s="33">
        <f t="shared" si="0"/>
        <v>78500</v>
      </c>
    </row>
    <row r="40" spans="1:8" x14ac:dyDescent="0.3">
      <c r="A40" s="16">
        <v>1019</v>
      </c>
      <c r="B40" s="16" t="s">
        <v>141</v>
      </c>
      <c r="C40" s="16" t="s">
        <v>144</v>
      </c>
      <c r="D40" s="16" t="s">
        <v>133</v>
      </c>
      <c r="E40" s="37">
        <v>44000</v>
      </c>
      <c r="F40" s="37">
        <v>13200</v>
      </c>
      <c r="G40" s="37">
        <v>5500</v>
      </c>
      <c r="H40" s="38">
        <f t="shared" si="0"/>
        <v>62700</v>
      </c>
    </row>
    <row r="41" spans="1:8" x14ac:dyDescent="0.3">
      <c r="A41" s="17">
        <v>1020</v>
      </c>
      <c r="B41" s="17" t="s">
        <v>147</v>
      </c>
      <c r="C41" s="17" t="s">
        <v>150</v>
      </c>
      <c r="D41" s="17" t="s">
        <v>133</v>
      </c>
      <c r="E41" s="32">
        <v>33000</v>
      </c>
      <c r="F41" s="32">
        <v>9900</v>
      </c>
      <c r="G41" s="32">
        <v>4000</v>
      </c>
      <c r="H41" s="33">
        <f t="shared" si="0"/>
        <v>46900</v>
      </c>
    </row>
    <row r="42" spans="1:8" x14ac:dyDescent="0.3">
      <c r="A42" s="16">
        <v>1021</v>
      </c>
      <c r="B42" s="16" t="s">
        <v>153</v>
      </c>
      <c r="C42" s="16" t="s">
        <v>156</v>
      </c>
      <c r="D42" s="16" t="s">
        <v>158</v>
      </c>
      <c r="E42" s="37">
        <v>68000</v>
      </c>
      <c r="F42" s="37">
        <v>20400</v>
      </c>
      <c r="G42" s="37">
        <v>8500</v>
      </c>
      <c r="H42" s="38">
        <f t="shared" si="0"/>
        <v>96900</v>
      </c>
    </row>
    <row r="43" spans="1:8" x14ac:dyDescent="0.3">
      <c r="A43" s="17">
        <v>1022</v>
      </c>
      <c r="B43" s="17" t="s">
        <v>160</v>
      </c>
      <c r="C43" s="17" t="s">
        <v>163</v>
      </c>
      <c r="D43" s="17" t="s">
        <v>158</v>
      </c>
      <c r="E43" s="32">
        <v>50000</v>
      </c>
      <c r="F43" s="32">
        <v>15000</v>
      </c>
      <c r="G43" s="32">
        <v>6000</v>
      </c>
      <c r="H43" s="33">
        <f t="shared" si="0"/>
        <v>71000</v>
      </c>
    </row>
    <row r="44" spans="1:8" x14ac:dyDescent="0.3">
      <c r="A44" s="16">
        <v>1023</v>
      </c>
      <c r="B44" s="16" t="s">
        <v>166</v>
      </c>
      <c r="C44" s="16" t="s">
        <v>169</v>
      </c>
      <c r="D44" s="16" t="s">
        <v>158</v>
      </c>
      <c r="E44" s="37">
        <v>36000</v>
      </c>
      <c r="F44" s="37">
        <v>10800</v>
      </c>
      <c r="G44" s="37">
        <v>4500</v>
      </c>
      <c r="H44" s="38">
        <f t="shared" si="0"/>
        <v>51300</v>
      </c>
    </row>
    <row r="45" spans="1:8" x14ac:dyDescent="0.3">
      <c r="A45" s="17">
        <v>1024</v>
      </c>
      <c r="B45" s="17" t="s">
        <v>172</v>
      </c>
      <c r="C45" s="17" t="s">
        <v>175</v>
      </c>
      <c r="D45" s="17" t="s">
        <v>158</v>
      </c>
      <c r="E45" s="32">
        <v>28000</v>
      </c>
      <c r="F45" s="32">
        <v>8400</v>
      </c>
      <c r="G45" s="32">
        <v>3500</v>
      </c>
      <c r="H45" s="33">
        <f t="shared" si="0"/>
        <v>39900</v>
      </c>
    </row>
    <row r="46" spans="1:8" x14ac:dyDescent="0.3">
      <c r="A46" s="16">
        <v>1025</v>
      </c>
      <c r="B46" s="16" t="s">
        <v>178</v>
      </c>
      <c r="C46" s="16" t="s">
        <v>181</v>
      </c>
      <c r="D46" s="16" t="s">
        <v>183</v>
      </c>
      <c r="E46" s="37">
        <v>80000</v>
      </c>
      <c r="F46" s="37">
        <v>24000</v>
      </c>
      <c r="G46" s="37">
        <v>10500</v>
      </c>
      <c r="H46" s="38">
        <f t="shared" si="0"/>
        <v>114500</v>
      </c>
    </row>
    <row r="47" spans="1:8" x14ac:dyDescent="0.3">
      <c r="A47" s="17">
        <v>1026</v>
      </c>
      <c r="B47" s="17" t="s">
        <v>184</v>
      </c>
      <c r="C47" s="17" t="s">
        <v>187</v>
      </c>
      <c r="D47" s="17" t="s">
        <v>183</v>
      </c>
      <c r="E47" s="32">
        <v>58000</v>
      </c>
      <c r="F47" s="32">
        <v>17400</v>
      </c>
      <c r="G47" s="32">
        <v>7500</v>
      </c>
      <c r="H47" s="33">
        <f t="shared" si="0"/>
        <v>82900</v>
      </c>
    </row>
    <row r="48" spans="1:8" x14ac:dyDescent="0.3">
      <c r="A48" s="16">
        <v>1027</v>
      </c>
      <c r="B48" s="16" t="s">
        <v>191</v>
      </c>
      <c r="C48" s="16" t="s">
        <v>194</v>
      </c>
      <c r="D48" s="16" t="s">
        <v>183</v>
      </c>
      <c r="E48" s="37">
        <v>38000</v>
      </c>
      <c r="F48" s="37">
        <v>11400</v>
      </c>
      <c r="G48" s="37">
        <v>5000</v>
      </c>
      <c r="H48" s="38">
        <f t="shared" si="0"/>
        <v>54400</v>
      </c>
    </row>
    <row r="49" spans="1:8" x14ac:dyDescent="0.3">
      <c r="A49" s="17">
        <v>1028</v>
      </c>
      <c r="B49" s="17" t="s">
        <v>197</v>
      </c>
      <c r="C49" s="17" t="s">
        <v>200</v>
      </c>
      <c r="D49" s="17" t="s">
        <v>94</v>
      </c>
      <c r="E49" s="32">
        <v>32000</v>
      </c>
      <c r="F49" s="32">
        <v>9600</v>
      </c>
      <c r="G49" s="32">
        <v>4000</v>
      </c>
      <c r="H49" s="33">
        <f t="shared" si="0"/>
        <v>45600</v>
      </c>
    </row>
    <row r="50" spans="1:8" x14ac:dyDescent="0.3">
      <c r="A50" s="16">
        <v>1029</v>
      </c>
      <c r="B50" s="16" t="s">
        <v>203</v>
      </c>
      <c r="C50" s="16" t="s">
        <v>206</v>
      </c>
      <c r="D50" s="16" t="s">
        <v>60</v>
      </c>
      <c r="E50" s="37">
        <v>38000</v>
      </c>
      <c r="F50" s="37">
        <v>11400</v>
      </c>
      <c r="G50" s="37">
        <v>4500</v>
      </c>
      <c r="H50" s="38">
        <f t="shared" si="0"/>
        <v>53900</v>
      </c>
    </row>
    <row r="51" spans="1:8" x14ac:dyDescent="0.3">
      <c r="A51" s="17">
        <v>1030</v>
      </c>
      <c r="B51" s="17" t="s">
        <v>209</v>
      </c>
      <c r="C51" s="17" t="s">
        <v>212</v>
      </c>
      <c r="D51" s="17" t="s">
        <v>133</v>
      </c>
      <c r="E51" s="32">
        <v>48000</v>
      </c>
      <c r="F51" s="32">
        <v>0</v>
      </c>
      <c r="G51" s="32">
        <v>5000</v>
      </c>
      <c r="H51" s="33">
        <f t="shared" si="0"/>
        <v>53000</v>
      </c>
    </row>
    <row r="52" spans="1:8" x14ac:dyDescent="0.3">
      <c r="A52" s="16">
        <v>1031</v>
      </c>
      <c r="B52" s="16" t="s">
        <v>216</v>
      </c>
      <c r="C52" s="16" t="s">
        <v>219</v>
      </c>
      <c r="D52" s="16" t="s">
        <v>158</v>
      </c>
      <c r="E52" s="37">
        <v>34000</v>
      </c>
      <c r="F52" s="37">
        <v>10200</v>
      </c>
      <c r="G52" s="37">
        <v>4000</v>
      </c>
      <c r="H52" s="38">
        <f t="shared" si="0"/>
        <v>48200</v>
      </c>
    </row>
    <row r="53" spans="1:8" x14ac:dyDescent="0.3">
      <c r="A53" s="17">
        <v>1032</v>
      </c>
      <c r="B53" s="17" t="s">
        <v>220</v>
      </c>
      <c r="C53" s="17" t="s">
        <v>223</v>
      </c>
      <c r="D53" s="17" t="s">
        <v>183</v>
      </c>
      <c r="E53" s="32">
        <v>36000</v>
      </c>
      <c r="F53" s="32">
        <v>10800</v>
      </c>
      <c r="G53" s="32">
        <v>4500</v>
      </c>
      <c r="H53" s="33">
        <f t="shared" si="0"/>
        <v>51300</v>
      </c>
    </row>
  </sheetData>
  <mergeCells count="4">
    <mergeCell ref="A1:H1"/>
    <mergeCell ref="A2:H2"/>
    <mergeCell ref="A13:D13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24B4A"/>
  </sheetPr>
  <dimension ref="A1:F20"/>
  <sheetViews>
    <sheetView zoomScaleNormal="100" workbookViewId="0">
      <selection activeCell="L2" sqref="L2"/>
    </sheetView>
  </sheetViews>
  <sheetFormatPr defaultColWidth="8.6640625" defaultRowHeight="14.4" x14ac:dyDescent="0.3"/>
  <cols>
    <col min="1" max="1" width="17.6640625" bestFit="1" customWidth="1"/>
    <col min="2" max="2" width="13.44140625" bestFit="1" customWidth="1"/>
    <col min="3" max="3" width="15.21875" bestFit="1" customWidth="1"/>
    <col min="4" max="4" width="21.5546875" bestFit="1" customWidth="1"/>
    <col min="5" max="5" width="11.109375" bestFit="1" customWidth="1"/>
    <col min="6" max="6" width="9.88671875" bestFit="1" customWidth="1"/>
  </cols>
  <sheetData>
    <row r="1" spans="1:6" ht="27.75" customHeight="1" x14ac:dyDescent="0.3">
      <c r="A1" s="14" t="s">
        <v>349</v>
      </c>
      <c r="B1" s="14"/>
      <c r="C1" s="14"/>
      <c r="D1" s="14"/>
      <c r="E1" s="14"/>
      <c r="F1" s="14"/>
    </row>
    <row r="2" spans="1:6" x14ac:dyDescent="0.3">
      <c r="A2" s="7" t="s">
        <v>350</v>
      </c>
      <c r="B2" s="7"/>
      <c r="C2" s="7"/>
      <c r="D2" s="7"/>
      <c r="E2" s="7"/>
      <c r="F2" s="7"/>
    </row>
    <row r="3" spans="1:6" x14ac:dyDescent="0.3">
      <c r="A3" s="62" t="s">
        <v>323</v>
      </c>
      <c r="B3" s="62" t="s">
        <v>324</v>
      </c>
      <c r="C3" s="62" t="s">
        <v>351</v>
      </c>
      <c r="D3" s="62" t="s">
        <v>352</v>
      </c>
    </row>
    <row r="4" spans="1:6" x14ac:dyDescent="0.3">
      <c r="A4" s="46" t="s">
        <v>353</v>
      </c>
      <c r="B4" s="70">
        <f>COUNTA('3_Cleaned_Data'!A3:A34)</f>
        <v>32</v>
      </c>
      <c r="C4" s="46" t="s">
        <v>327</v>
      </c>
      <c r="D4" s="46" t="s">
        <v>354</v>
      </c>
    </row>
    <row r="5" spans="1:6" x14ac:dyDescent="0.3">
      <c r="A5" s="41" t="s">
        <v>355</v>
      </c>
      <c r="B5" s="71">
        <f>COUNTIF('3_Cleaned_Data'!N3:N34,"Active")</f>
        <v>27</v>
      </c>
      <c r="C5" s="41" t="s">
        <v>356</v>
      </c>
      <c r="D5" s="41" t="s">
        <v>357</v>
      </c>
    </row>
    <row r="6" spans="1:6" x14ac:dyDescent="0.3">
      <c r="A6" s="46" t="s">
        <v>358</v>
      </c>
      <c r="B6" s="70">
        <f>COUNTIF('3_Cleaned_Data'!N3:N34,"&lt;&gt;Active")</f>
        <v>5</v>
      </c>
      <c r="C6" s="46" t="s">
        <v>356</v>
      </c>
      <c r="D6" s="46" t="s">
        <v>359</v>
      </c>
    </row>
    <row r="7" spans="1:6" x14ac:dyDescent="0.3">
      <c r="A7" s="41" t="s">
        <v>208</v>
      </c>
      <c r="B7" s="71">
        <f>COUNTIF('3_Cleaned_Data'!N3:N34,"Resigned")</f>
        <v>3</v>
      </c>
      <c r="C7" s="41" t="s">
        <v>356</v>
      </c>
      <c r="D7" s="41" t="s">
        <v>360</v>
      </c>
    </row>
    <row r="8" spans="1:6" x14ac:dyDescent="0.3">
      <c r="A8" s="46" t="s">
        <v>361</v>
      </c>
      <c r="B8" s="70">
        <f>COUNTIF('3_Cleaned_Data'!N3:N34,"Contract End")</f>
        <v>1</v>
      </c>
      <c r="C8" s="46" t="s">
        <v>356</v>
      </c>
      <c r="D8" s="46" t="s">
        <v>362</v>
      </c>
    </row>
    <row r="9" spans="1:6" x14ac:dyDescent="0.3">
      <c r="A9" s="41" t="s">
        <v>225</v>
      </c>
      <c r="B9" s="71">
        <f>COUNTIF('3_Cleaned_Data'!N3:N34,"Terminated")</f>
        <v>1</v>
      </c>
      <c r="C9" s="41" t="s">
        <v>356</v>
      </c>
      <c r="D9" s="41" t="s">
        <v>363</v>
      </c>
    </row>
    <row r="10" spans="1:6" x14ac:dyDescent="0.3">
      <c r="A10" s="46" t="s">
        <v>364</v>
      </c>
      <c r="B10" s="72">
        <f>COUNTIF('3_Cleaned_Data'!N3:N34,"&lt;&gt;Active")/COUNTA('3_Cleaned_Data'!A3:A34)</f>
        <v>0.15625</v>
      </c>
      <c r="C10" s="46" t="s">
        <v>339</v>
      </c>
      <c r="D10" s="46" t="s">
        <v>365</v>
      </c>
    </row>
    <row r="11" spans="1:6" x14ac:dyDescent="0.3">
      <c r="A11" s="41" t="s">
        <v>366</v>
      </c>
      <c r="B11" s="73">
        <f>1-COUNTIF('3_Cleaned_Data'!N3:N34,"&lt;&gt;Active")/COUNTA('3_Cleaned_Data'!A3:A34)</f>
        <v>0.84375</v>
      </c>
      <c r="C11" s="41" t="s">
        <v>367</v>
      </c>
      <c r="D11" s="41" t="s">
        <v>368</v>
      </c>
    </row>
    <row r="14" spans="1:6" x14ac:dyDescent="0.3">
      <c r="A14" s="7" t="s">
        <v>369</v>
      </c>
      <c r="B14" s="7"/>
      <c r="C14" s="7"/>
      <c r="D14" s="7"/>
      <c r="E14" s="7"/>
      <c r="F14" s="7"/>
    </row>
    <row r="15" spans="1:6" x14ac:dyDescent="0.3">
      <c r="A15" s="67" t="s">
        <v>2</v>
      </c>
      <c r="B15" s="62" t="s">
        <v>370</v>
      </c>
      <c r="C15" s="67" t="s">
        <v>8</v>
      </c>
      <c r="D15" s="67" t="s">
        <v>9</v>
      </c>
      <c r="E15" s="67" t="s">
        <v>371</v>
      </c>
      <c r="F15" s="67" t="s">
        <v>372</v>
      </c>
    </row>
    <row r="16" spans="1:6" x14ac:dyDescent="0.3">
      <c r="A16" s="47">
        <v>1028</v>
      </c>
      <c r="B16" s="46" t="s">
        <v>197</v>
      </c>
      <c r="C16" s="47" t="s">
        <v>118</v>
      </c>
      <c r="D16" s="47" t="s">
        <v>94</v>
      </c>
      <c r="E16" s="74" t="s">
        <v>373</v>
      </c>
      <c r="F16" s="47" t="s">
        <v>374</v>
      </c>
    </row>
    <row r="17" spans="1:6" x14ac:dyDescent="0.3">
      <c r="A17" s="42">
        <v>1029</v>
      </c>
      <c r="B17" s="41" t="s">
        <v>203</v>
      </c>
      <c r="C17" s="42" t="s">
        <v>73</v>
      </c>
      <c r="D17" s="42" t="s">
        <v>60</v>
      </c>
      <c r="E17" s="75" t="s">
        <v>373</v>
      </c>
      <c r="F17" s="42" t="s">
        <v>375</v>
      </c>
    </row>
    <row r="18" spans="1:6" x14ac:dyDescent="0.3">
      <c r="A18" s="47">
        <v>1030</v>
      </c>
      <c r="B18" s="46" t="s">
        <v>209</v>
      </c>
      <c r="C18" s="47" t="s">
        <v>139</v>
      </c>
      <c r="D18" s="47" t="s">
        <v>133</v>
      </c>
      <c r="E18" s="76" t="s">
        <v>215</v>
      </c>
      <c r="F18" s="47" t="s">
        <v>376</v>
      </c>
    </row>
    <row r="19" spans="1:6" x14ac:dyDescent="0.3">
      <c r="A19" s="42">
        <v>1031</v>
      </c>
      <c r="B19" s="41" t="s">
        <v>216</v>
      </c>
      <c r="C19" s="42" t="s">
        <v>170</v>
      </c>
      <c r="D19" s="42" t="s">
        <v>158</v>
      </c>
      <c r="E19" s="75" t="s">
        <v>373</v>
      </c>
      <c r="F19" s="42" t="s">
        <v>377</v>
      </c>
    </row>
    <row r="20" spans="1:6" x14ac:dyDescent="0.3">
      <c r="A20" s="47">
        <v>1032</v>
      </c>
      <c r="B20" s="46" t="s">
        <v>220</v>
      </c>
      <c r="C20" s="47" t="s">
        <v>195</v>
      </c>
      <c r="D20" s="47" t="s">
        <v>183</v>
      </c>
      <c r="E20" s="77" t="s">
        <v>378</v>
      </c>
      <c r="F20" s="47" t="s">
        <v>379</v>
      </c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D9E75"/>
  </sheetPr>
  <dimension ref="A1:I13"/>
  <sheetViews>
    <sheetView tabSelected="1" zoomScaleNormal="100" workbookViewId="0">
      <pane ySplit="2" topLeftCell="A3" activePane="bottomLeft" state="frozen"/>
      <selection pane="bottomLeft" activeCell="F21" sqref="F21"/>
    </sheetView>
  </sheetViews>
  <sheetFormatPr defaultColWidth="8.6640625" defaultRowHeight="14.4" x14ac:dyDescent="0.3"/>
  <cols>
    <col min="1" max="2" width="6.33203125" bestFit="1" customWidth="1"/>
    <col min="3" max="3" width="14" bestFit="1" customWidth="1"/>
    <col min="4" max="4" width="17.77734375" bestFit="1" customWidth="1"/>
    <col min="5" max="5" width="12.44140625" bestFit="1" customWidth="1"/>
    <col min="6" max="6" width="12.88671875" bestFit="1" customWidth="1"/>
    <col min="7" max="7" width="13.21875" bestFit="1" customWidth="1"/>
    <col min="8" max="8" width="10.5546875" bestFit="1" customWidth="1"/>
    <col min="9" max="9" width="49.88671875" bestFit="1" customWidth="1"/>
  </cols>
  <sheetData>
    <row r="1" spans="1:9" ht="27.75" customHeight="1" x14ac:dyDescent="0.3">
      <c r="A1" s="11" t="s">
        <v>380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5" t="s">
        <v>381</v>
      </c>
      <c r="B2" s="15" t="s">
        <v>2</v>
      </c>
      <c r="C2" s="15" t="s">
        <v>370</v>
      </c>
      <c r="D2" s="15" t="s">
        <v>382</v>
      </c>
      <c r="E2" s="15" t="s">
        <v>383</v>
      </c>
      <c r="F2" s="15" t="s">
        <v>384</v>
      </c>
      <c r="G2" s="15" t="s">
        <v>385</v>
      </c>
      <c r="H2" s="15" t="s">
        <v>386</v>
      </c>
      <c r="I2" s="15" t="s">
        <v>387</v>
      </c>
    </row>
    <row r="3" spans="1:9" x14ac:dyDescent="0.3">
      <c r="A3" s="17">
        <v>1</v>
      </c>
      <c r="B3" s="17">
        <v>1002</v>
      </c>
      <c r="C3" s="17" t="s">
        <v>41</v>
      </c>
      <c r="D3" s="17" t="s">
        <v>32</v>
      </c>
      <c r="E3" s="32">
        <v>62000</v>
      </c>
      <c r="F3" s="32">
        <v>8000</v>
      </c>
      <c r="G3" s="78">
        <f t="shared" ref="G3:G12" si="0">E3+F3</f>
        <v>70000</v>
      </c>
      <c r="H3" s="79">
        <f t="shared" ref="H3:H12" si="1">F3/E3</f>
        <v>0.12903225806451613</v>
      </c>
      <c r="I3" s="17" t="s">
        <v>388</v>
      </c>
    </row>
    <row r="4" spans="1:9" x14ac:dyDescent="0.3">
      <c r="A4" s="16">
        <v>2</v>
      </c>
      <c r="B4" s="16">
        <v>1003</v>
      </c>
      <c r="C4" s="16" t="s">
        <v>34</v>
      </c>
      <c r="D4" s="16" t="s">
        <v>389</v>
      </c>
      <c r="E4" s="37">
        <v>37000</v>
      </c>
      <c r="F4" s="37">
        <v>5000</v>
      </c>
      <c r="G4" s="80">
        <f t="shared" si="0"/>
        <v>42000</v>
      </c>
      <c r="H4" s="81">
        <f t="shared" si="1"/>
        <v>0.13513513513513514</v>
      </c>
      <c r="I4" s="16" t="s">
        <v>390</v>
      </c>
    </row>
    <row r="5" spans="1:9" x14ac:dyDescent="0.3">
      <c r="A5" s="17">
        <v>3</v>
      </c>
      <c r="B5" s="17">
        <v>1007</v>
      </c>
      <c r="C5" s="17" t="s">
        <v>81</v>
      </c>
      <c r="D5" s="17" t="s">
        <v>67</v>
      </c>
      <c r="E5" s="32">
        <v>45000</v>
      </c>
      <c r="F5" s="32">
        <v>7000</v>
      </c>
      <c r="G5" s="78">
        <f t="shared" si="0"/>
        <v>52000</v>
      </c>
      <c r="H5" s="79">
        <f t="shared" si="1"/>
        <v>0.15555555555555556</v>
      </c>
      <c r="I5" s="17" t="s">
        <v>391</v>
      </c>
    </row>
    <row r="6" spans="1:9" x14ac:dyDescent="0.3">
      <c r="A6" s="16">
        <v>4</v>
      </c>
      <c r="B6" s="16">
        <v>1008</v>
      </c>
      <c r="C6" s="16" t="s">
        <v>69</v>
      </c>
      <c r="D6" s="16" t="s">
        <v>73</v>
      </c>
      <c r="E6" s="37">
        <v>36000</v>
      </c>
      <c r="F6" s="37">
        <v>4000</v>
      </c>
      <c r="G6" s="80">
        <f t="shared" si="0"/>
        <v>40000</v>
      </c>
      <c r="H6" s="81">
        <f t="shared" si="1"/>
        <v>0.1111111111111111</v>
      </c>
      <c r="I6" s="16" t="s">
        <v>392</v>
      </c>
    </row>
    <row r="7" spans="1:9" x14ac:dyDescent="0.3">
      <c r="A7" s="17">
        <v>5</v>
      </c>
      <c r="B7" s="17">
        <v>1012</v>
      </c>
      <c r="C7" s="17" t="s">
        <v>96</v>
      </c>
      <c r="D7" s="17" t="s">
        <v>100</v>
      </c>
      <c r="E7" s="32">
        <v>49000</v>
      </c>
      <c r="F7" s="32">
        <v>9000</v>
      </c>
      <c r="G7" s="78">
        <f t="shared" si="0"/>
        <v>58000</v>
      </c>
      <c r="H7" s="79">
        <f t="shared" si="1"/>
        <v>0.18367346938775511</v>
      </c>
      <c r="I7" s="17" t="s">
        <v>393</v>
      </c>
    </row>
    <row r="8" spans="1:9" x14ac:dyDescent="0.3">
      <c r="A8" s="16">
        <v>6</v>
      </c>
      <c r="B8" s="16">
        <v>1013</v>
      </c>
      <c r="C8" s="16" t="s">
        <v>102</v>
      </c>
      <c r="D8" s="16" t="s">
        <v>106</v>
      </c>
      <c r="E8" s="37">
        <v>39500</v>
      </c>
      <c r="F8" s="37">
        <v>5500</v>
      </c>
      <c r="G8" s="80">
        <f t="shared" si="0"/>
        <v>45000</v>
      </c>
      <c r="H8" s="81">
        <f t="shared" si="1"/>
        <v>0.13924050632911392</v>
      </c>
      <c r="I8" s="16" t="s">
        <v>394</v>
      </c>
    </row>
    <row r="9" spans="1:9" x14ac:dyDescent="0.3">
      <c r="A9" s="17">
        <v>7</v>
      </c>
      <c r="B9" s="17">
        <v>1014</v>
      </c>
      <c r="C9" s="17" t="s">
        <v>108</v>
      </c>
      <c r="D9" s="17" t="s">
        <v>112</v>
      </c>
      <c r="E9" s="32">
        <v>37500</v>
      </c>
      <c r="F9" s="32">
        <v>4500</v>
      </c>
      <c r="G9" s="78">
        <f t="shared" si="0"/>
        <v>42000</v>
      </c>
      <c r="H9" s="79">
        <f t="shared" si="1"/>
        <v>0.12</v>
      </c>
      <c r="I9" s="17" t="s">
        <v>395</v>
      </c>
    </row>
    <row r="10" spans="1:9" x14ac:dyDescent="0.3">
      <c r="A10" s="16">
        <v>8</v>
      </c>
      <c r="B10" s="16">
        <v>1018</v>
      </c>
      <c r="C10" s="16" t="s">
        <v>135</v>
      </c>
      <c r="D10" s="16" t="s">
        <v>139</v>
      </c>
      <c r="E10" s="37">
        <v>49000</v>
      </c>
      <c r="F10" s="37">
        <v>6000</v>
      </c>
      <c r="G10" s="80">
        <f t="shared" si="0"/>
        <v>55000</v>
      </c>
      <c r="H10" s="81">
        <f t="shared" si="1"/>
        <v>0.12244897959183673</v>
      </c>
      <c r="I10" s="16" t="s">
        <v>396</v>
      </c>
    </row>
    <row r="11" spans="1:9" x14ac:dyDescent="0.3">
      <c r="A11" s="17">
        <v>9</v>
      </c>
      <c r="B11" s="17">
        <v>1022</v>
      </c>
      <c r="C11" s="17" t="s">
        <v>160</v>
      </c>
      <c r="D11" s="17" t="s">
        <v>164</v>
      </c>
      <c r="E11" s="32">
        <v>44000</v>
      </c>
      <c r="F11" s="32">
        <v>6000</v>
      </c>
      <c r="G11" s="78">
        <f t="shared" si="0"/>
        <v>50000</v>
      </c>
      <c r="H11" s="79">
        <f t="shared" si="1"/>
        <v>0.13636363636363635</v>
      </c>
      <c r="I11" s="17" t="s">
        <v>397</v>
      </c>
    </row>
    <row r="12" spans="1:9" x14ac:dyDescent="0.3">
      <c r="A12" s="16">
        <v>10</v>
      </c>
      <c r="B12" s="16">
        <v>1026</v>
      </c>
      <c r="C12" s="16" t="s">
        <v>184</v>
      </c>
      <c r="D12" s="16" t="s">
        <v>188</v>
      </c>
      <c r="E12" s="37">
        <v>50500</v>
      </c>
      <c r="F12" s="37">
        <v>7500</v>
      </c>
      <c r="G12" s="80">
        <f t="shared" si="0"/>
        <v>58000</v>
      </c>
      <c r="H12" s="81">
        <f t="shared" si="1"/>
        <v>0.14851485148514851</v>
      </c>
      <c r="I12" s="16" t="s">
        <v>398</v>
      </c>
    </row>
    <row r="13" spans="1:9" x14ac:dyDescent="0.3">
      <c r="A13" s="82" t="s">
        <v>319</v>
      </c>
      <c r="F13" s="83">
        <f>SUM(F3:F12)</f>
        <v>62500</v>
      </c>
      <c r="G13" s="83">
        <f>SUM(G3:G12)</f>
        <v>512000</v>
      </c>
      <c r="H13" s="84">
        <f>SUM(F3:F12)/SUM(E3:E12)</f>
        <v>0.13904338153503892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2A4A"/>
  </sheetPr>
  <dimension ref="A1:J16"/>
  <sheetViews>
    <sheetView zoomScaleNormal="100" workbookViewId="0">
      <selection activeCell="K11" sqref="K11"/>
    </sheetView>
  </sheetViews>
  <sheetFormatPr defaultColWidth="8.6640625" defaultRowHeight="14.4" x14ac:dyDescent="0.3"/>
  <cols>
    <col min="1" max="1" width="23.5546875" bestFit="1" customWidth="1"/>
    <col min="2" max="2" width="10.77734375" bestFit="1" customWidth="1"/>
    <col min="3" max="3" width="5.5546875" bestFit="1" customWidth="1"/>
    <col min="4" max="4" width="9" bestFit="1" customWidth="1"/>
    <col min="5" max="5" width="8.77734375" bestFit="1" customWidth="1"/>
    <col min="6" max="6" width="7.33203125" bestFit="1" customWidth="1"/>
  </cols>
  <sheetData>
    <row r="1" spans="1:10" ht="33.75" customHeight="1" x14ac:dyDescent="0.3">
      <c r="A1" s="6" t="s">
        <v>399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3">
      <c r="A2" s="5" t="s">
        <v>400</v>
      </c>
      <c r="B2" s="5"/>
      <c r="C2" s="5"/>
      <c r="D2" s="5"/>
      <c r="E2" s="5"/>
      <c r="F2" s="5"/>
      <c r="G2" s="5"/>
      <c r="H2" s="5"/>
      <c r="I2" s="5"/>
      <c r="J2" s="5"/>
    </row>
    <row r="4" spans="1:10" ht="21.75" customHeight="1" x14ac:dyDescent="0.3">
      <c r="A4" s="4" t="s">
        <v>401</v>
      </c>
      <c r="B4" s="4"/>
      <c r="C4" s="3" t="s">
        <v>402</v>
      </c>
      <c r="D4" s="3"/>
      <c r="E4" s="2" t="s">
        <v>403</v>
      </c>
      <c r="F4" s="2"/>
      <c r="G4" s="1" t="s">
        <v>404</v>
      </c>
      <c r="H4" s="1"/>
      <c r="I4" s="96" t="s">
        <v>405</v>
      </c>
      <c r="J4" s="96"/>
    </row>
    <row r="5" spans="1:10" ht="21.75" customHeight="1" x14ac:dyDescent="0.3">
      <c r="A5" s="97">
        <f>COUNTA('3_Cleaned_Data'!A3:A34)</f>
        <v>32</v>
      </c>
      <c r="B5" s="97"/>
      <c r="C5" s="98">
        <f>COUNTIF('3_Cleaned_Data'!N3:N34,"Active")</f>
        <v>27</v>
      </c>
      <c r="D5" s="98"/>
      <c r="E5" s="99">
        <f>COUNTIF('3_Cleaned_Data'!N3:N34,"&lt;&gt;Active")</f>
        <v>5</v>
      </c>
      <c r="F5" s="99"/>
      <c r="G5" s="100">
        <f>COUNTIF('3_Cleaned_Data'!N3:N34,"&lt;&gt;Active")/COUNTA('3_Cleaned_Data'!A3:A34)</f>
        <v>0.15625</v>
      </c>
      <c r="H5" s="100"/>
      <c r="I5" s="101" t="s">
        <v>406</v>
      </c>
      <c r="J5" s="101"/>
    </row>
    <row r="6" spans="1:10" ht="21.75" customHeight="1" x14ac:dyDescent="0.3">
      <c r="A6" s="102" t="s">
        <v>407</v>
      </c>
      <c r="B6" s="102"/>
      <c r="C6" s="103" t="s">
        <v>407</v>
      </c>
      <c r="D6" s="103"/>
      <c r="E6" s="104" t="s">
        <v>407</v>
      </c>
      <c r="F6" s="104"/>
      <c r="G6" s="105" t="s">
        <v>407</v>
      </c>
      <c r="H6" s="105"/>
      <c r="I6" s="106" t="s">
        <v>407</v>
      </c>
      <c r="J6" s="106"/>
    </row>
    <row r="8" spans="1:10" x14ac:dyDescent="0.3">
      <c r="A8" s="7" t="s">
        <v>408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15" t="s">
        <v>9</v>
      </c>
      <c r="B9" s="15" t="s">
        <v>409</v>
      </c>
      <c r="C9" s="15" t="s">
        <v>342</v>
      </c>
      <c r="D9" s="15" t="s">
        <v>410</v>
      </c>
      <c r="E9" s="15" t="s">
        <v>411</v>
      </c>
      <c r="F9" s="15" t="s">
        <v>412</v>
      </c>
    </row>
    <row r="10" spans="1:10" x14ac:dyDescent="0.3">
      <c r="A10" s="85" t="s">
        <v>94</v>
      </c>
      <c r="B10" s="47" t="s">
        <v>89</v>
      </c>
      <c r="C10" s="47">
        <f>COUNTIF('3_Cleaned_Data'!H3:H34,"HR Analytics &amp; Data")</f>
        <v>7</v>
      </c>
      <c r="D10" s="48">
        <f>AVERAGEIF('3_Cleaned_Data'!H3:H34,"HR Analytics &amp; Data",'3_Cleaned_Data'!K3:K34)</f>
        <v>41714.285714285717</v>
      </c>
      <c r="E10" s="48">
        <f>SUMIF('3_Cleaned_Data'!H3:H34,"HR Analytics &amp; Data",'3_Cleaned_Data'!K3:K34)</f>
        <v>292000</v>
      </c>
      <c r="F10" s="86">
        <f>E10/E16</f>
        <v>0.19389110225763612</v>
      </c>
    </row>
    <row r="11" spans="1:10" x14ac:dyDescent="0.3">
      <c r="A11" s="87" t="s">
        <v>60</v>
      </c>
      <c r="B11" s="42" t="s">
        <v>55</v>
      </c>
      <c r="C11" s="42">
        <f>COUNTIF('3_Cleaned_Data'!H3:H34,"Recruitment &amp; Talent")</f>
        <v>6</v>
      </c>
      <c r="D11" s="43">
        <f>AVERAGEIF('3_Cleaned_Data'!H3:H34,"Recruitment &amp; Talent",'3_Cleaned_Data'!K3:K34)</f>
        <v>43500</v>
      </c>
      <c r="E11" s="43">
        <f>SUMIF('3_Cleaned_Data'!H3:H34,"Recruitment &amp; Talent",'3_Cleaned_Data'!K3:K34)</f>
        <v>261000</v>
      </c>
      <c r="F11" s="88">
        <f>E11/E16</f>
        <v>0.17330677290836655</v>
      </c>
    </row>
    <row r="12" spans="1:10" x14ac:dyDescent="0.3">
      <c r="A12" s="26" t="s">
        <v>23</v>
      </c>
      <c r="B12" s="47" t="s">
        <v>17</v>
      </c>
      <c r="C12" s="47">
        <f>COUNTIF('3_Cleaned_Data'!H3:H34,"Human Resources")</f>
        <v>5</v>
      </c>
      <c r="D12" s="48">
        <f>AVERAGEIF('3_Cleaned_Data'!H3:H34,"Human Resources",'3_Cleaned_Data'!K3:K34)</f>
        <v>54000</v>
      </c>
      <c r="E12" s="48">
        <f>SUMIF('3_Cleaned_Data'!H3:H34,"Human Resources",'3_Cleaned_Data'!K3:K34)</f>
        <v>270000</v>
      </c>
      <c r="F12" s="89">
        <f>E12/E16</f>
        <v>0.17928286852589642</v>
      </c>
    </row>
    <row r="13" spans="1:10" x14ac:dyDescent="0.3">
      <c r="A13" s="90" t="s">
        <v>133</v>
      </c>
      <c r="B13" s="42" t="s">
        <v>127</v>
      </c>
      <c r="C13" s="42">
        <f>COUNTIF('3_Cleaned_Data'!H3:H34,"Organizational Development")</f>
        <v>5</v>
      </c>
      <c r="D13" s="43">
        <f>AVERAGEIF('3_Cleaned_Data'!H3:H34,"Organizational Development",'3_Cleaned_Data'!K3:K34)</f>
        <v>51000</v>
      </c>
      <c r="E13" s="43">
        <f>SUMIF('3_Cleaned_Data'!H3:H34,"Organizational Development",'3_Cleaned_Data'!K3:K34)</f>
        <v>255000</v>
      </c>
      <c r="F13" s="91">
        <f>E13/E16</f>
        <v>0.1693227091633466</v>
      </c>
    </row>
    <row r="14" spans="1:10" x14ac:dyDescent="0.3">
      <c r="A14" s="92" t="s">
        <v>158</v>
      </c>
      <c r="B14" s="47" t="s">
        <v>153</v>
      </c>
      <c r="C14" s="47">
        <f>COUNTIF('3_Cleaned_Data'!H3:H34,"Finance &amp; Accounts")</f>
        <v>5</v>
      </c>
      <c r="D14" s="48">
        <f>AVERAGEIF('3_Cleaned_Data'!H3:H34,"Finance &amp; Accounts",'3_Cleaned_Data'!K3:K34)</f>
        <v>43200</v>
      </c>
      <c r="E14" s="48">
        <f>SUMIF('3_Cleaned_Data'!H3:H34,"Finance &amp; Accounts",'3_Cleaned_Data'!K3:K34)</f>
        <v>216000</v>
      </c>
      <c r="F14" s="93">
        <f>E14/E16</f>
        <v>0.14342629482071714</v>
      </c>
    </row>
    <row r="15" spans="1:10" x14ac:dyDescent="0.3">
      <c r="A15" s="94" t="s">
        <v>183</v>
      </c>
      <c r="B15" s="42" t="s">
        <v>178</v>
      </c>
      <c r="C15" s="42">
        <f>COUNTIF('3_Cleaned_Data'!H3:H34,"Client Relations")</f>
        <v>4</v>
      </c>
      <c r="D15" s="43">
        <f>AVERAGEIF('3_Cleaned_Data'!H3:H34,"Client Relations",'3_Cleaned_Data'!K3:K34)</f>
        <v>53000</v>
      </c>
      <c r="E15" s="43">
        <f>SUMIF('3_Cleaned_Data'!H3:H34,"Client Relations",'3_Cleaned_Data'!K3:K34)</f>
        <v>212000</v>
      </c>
      <c r="F15" s="95">
        <f>E15/E16</f>
        <v>0.1407702523240372</v>
      </c>
    </row>
    <row r="16" spans="1:10" x14ac:dyDescent="0.3">
      <c r="A16" s="60" t="s">
        <v>319</v>
      </c>
      <c r="B16" s="60" t="s">
        <v>287</v>
      </c>
      <c r="C16" s="60">
        <f>SUM(C10:C15)</f>
        <v>32</v>
      </c>
      <c r="D16" s="61">
        <f>AVERAGE(D10:D15)</f>
        <v>47735.714285714283</v>
      </c>
      <c r="E16" s="61">
        <f>SUM(E10:E15)</f>
        <v>1506000</v>
      </c>
      <c r="F16" s="60" t="s">
        <v>320</v>
      </c>
    </row>
  </sheetData>
  <mergeCells count="18">
    <mergeCell ref="A8:J8"/>
    <mergeCell ref="A6:B6"/>
    <mergeCell ref="C6:D6"/>
    <mergeCell ref="E6:F6"/>
    <mergeCell ref="G6:H6"/>
    <mergeCell ref="I6:J6"/>
    <mergeCell ref="A5:B5"/>
    <mergeCell ref="C5:D5"/>
    <mergeCell ref="E5:F5"/>
    <mergeCell ref="G5:H5"/>
    <mergeCell ref="I5:J5"/>
    <mergeCell ref="A1:J1"/>
    <mergeCell ref="A2:J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1_Raw_Data</vt:lpstr>
      <vt:lpstr>2_Data_Cleaning_Log</vt:lpstr>
      <vt:lpstr>3_Cleaned_Data</vt:lpstr>
      <vt:lpstr>4_Employee_Master</vt:lpstr>
      <vt:lpstr>5_Dept_Summary</vt:lpstr>
      <vt:lpstr>6_Salary_Analysis</vt:lpstr>
      <vt:lpstr>7_Attrition_Analysis</vt:lpstr>
      <vt:lpstr>8_Salary_Revision_Log</vt:lpstr>
      <vt:lpstr>9_HR_Dashboard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 Kumar</cp:lastModifiedBy>
  <cp:revision>0</cp:revision>
  <dcterms:created xsi:type="dcterms:W3CDTF">2026-06-17T05:19:32Z</dcterms:created>
  <dcterms:modified xsi:type="dcterms:W3CDTF">2026-06-17T05:32:49Z</dcterms:modified>
  <dc:language>en-US</dc:language>
</cp:coreProperties>
</file>